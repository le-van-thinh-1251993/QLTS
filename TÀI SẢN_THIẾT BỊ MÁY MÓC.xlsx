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lehan\Downloads\"/>
    </mc:Choice>
  </mc:AlternateContent>
  <xr:revisionPtr revIDLastSave="0" documentId="8_{1E9986AB-0C68-4731-8556-F06167BCB655}" xr6:coauthVersionLast="47" xr6:coauthVersionMax="47" xr10:uidLastSave="{00000000-0000-0000-0000-000000000000}"/>
  <bookViews>
    <workbookView xWindow="-120" yWindow="-120" windowWidth="29040" windowHeight="15720" firstSheet="5" activeTab="12" xr2:uid="{00000000-000D-0000-FFFF-FFFF00000000}"/>
  </bookViews>
  <sheets>
    <sheet name="Hệ thống tổng hợp tài sản" sheetId="1" state="hidden" r:id="rId1"/>
    <sheet name="Trang_tính1" sheetId="18" state="hidden" r:id="rId2"/>
    <sheet name="TỔNG HỢP TS" sheetId="25" r:id="rId3"/>
    <sheet name="01. Tài sản tăng" sheetId="5" r:id="rId4"/>
    <sheet name="02. Tài sản giảm" sheetId="17" r:id="rId5"/>
    <sheet name="03. Chi tiết TS các bộ phận" sheetId="19" r:id="rId6"/>
    <sheet name="04. TH THEO LOẠI TS" sheetId="21" r:id="rId7"/>
    <sheet name="Code Data" sheetId="11" state="hidden" r:id="rId8"/>
    <sheet name="02. TS máy móc thiết bị" sheetId="4" state="hidden" r:id="rId9"/>
    <sheet name="Sheet1" sheetId="10" state="hidden" r:id="rId10"/>
    <sheet name="Sheet3" sheetId="15" state="hidden" r:id="rId11"/>
    <sheet name="5. Theo dõi mail" sheetId="23" r:id="rId12"/>
    <sheet name="6. data thông tin nhân sự" sheetId="24" r:id="rId13"/>
    <sheet name="Danh sách thiết bị" sheetId="22" r:id="rId14"/>
  </sheets>
  <definedNames>
    <definedName name="_xlnm._FilterDatabase" localSheetId="8" hidden="1">'02. TS máy móc thiết bị'!$A$3:$X$3</definedName>
    <definedName name="_xlnm._FilterDatabase" localSheetId="5" hidden="1">'03. Chi tiết TS các bộ phận'!$A$5:$W$199</definedName>
    <definedName name="_xlnm._FilterDatabase" localSheetId="6" hidden="1">'04. TH THEO LOẠI TS'!$B$4:$V$195</definedName>
    <definedName name="_xlnm._FilterDatabase" localSheetId="11" hidden="1">'5. Theo dõi mail'!$K$2:$K$92</definedName>
    <definedName name="_xlnm._FilterDatabase" localSheetId="13" hidden="1">'Danh sách thiết bị'!$K$1:$K$74</definedName>
  </definedNames>
  <calcPr calcId="191028"/>
  <pivotCaches>
    <pivotCache cacheId="9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1" l="1"/>
  <c r="J3" i="21"/>
  <c r="K3" i="21"/>
  <c r="L3" i="21"/>
  <c r="M3" i="21"/>
  <c r="N3" i="21"/>
  <c r="O3" i="21"/>
  <c r="L196" i="21"/>
  <c r="L195" i="21"/>
  <c r="L194" i="21"/>
  <c r="L183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55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22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66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25" i="21"/>
  <c r="L21" i="21"/>
  <c r="L22" i="21"/>
  <c r="L23" i="21"/>
  <c r="L19" i="21"/>
  <c r="L20" i="21"/>
  <c r="L15" i="21"/>
  <c r="L14" i="21"/>
  <c r="L7" i="21"/>
  <c r="L8" i="21"/>
  <c r="L9" i="21"/>
  <c r="L10" i="21"/>
  <c r="L12" i="21"/>
  <c r="L6" i="21"/>
  <c r="K113" i="21"/>
  <c r="K116" i="21"/>
  <c r="K117" i="21"/>
  <c r="K118" i="21"/>
  <c r="K119" i="21"/>
  <c r="K120" i="21"/>
  <c r="J116" i="21"/>
  <c r="J117" i="21"/>
  <c r="J118" i="21"/>
  <c r="J119" i="21"/>
  <c r="J120" i="21"/>
  <c r="J113" i="21"/>
  <c r="N153" i="19"/>
  <c r="K153" i="19"/>
  <c r="J153" i="19"/>
  <c r="I153" i="19"/>
  <c r="J101" i="19"/>
  <c r="I101" i="19"/>
  <c r="K101" i="19"/>
  <c r="K109" i="19"/>
  <c r="I109" i="19"/>
  <c r="J109" i="19"/>
  <c r="K94" i="19"/>
  <c r="J94" i="19"/>
  <c r="I94" i="19"/>
  <c r="K97" i="19"/>
  <c r="J97" i="19"/>
  <c r="I97" i="19"/>
  <c r="I114" i="19"/>
  <c r="J114" i="19"/>
  <c r="K114" i="19"/>
  <c r="C56" i="23"/>
  <c r="D56" i="23"/>
  <c r="E56" i="23"/>
  <c r="F56" i="23"/>
  <c r="G56" i="23"/>
  <c r="K141" i="19"/>
  <c r="J141" i="19"/>
  <c r="I141" i="19"/>
  <c r="I200" i="19"/>
  <c r="J200" i="19"/>
  <c r="K200" i="19"/>
  <c r="I201" i="19"/>
  <c r="J201" i="19"/>
  <c r="K201" i="19"/>
  <c r="I199" i="19"/>
  <c r="J199" i="19"/>
  <c r="K199" i="19"/>
  <c r="I55" i="19"/>
  <c r="J55" i="19"/>
  <c r="K55" i="19"/>
  <c r="K60" i="21"/>
  <c r="J60" i="21"/>
  <c r="K109" i="21"/>
  <c r="J109" i="21"/>
  <c r="K142" i="21"/>
  <c r="J142" i="21"/>
  <c r="K183" i="21"/>
  <c r="J183" i="21"/>
  <c r="I154" i="19"/>
  <c r="J154" i="19"/>
  <c r="K154" i="19"/>
  <c r="I155" i="19"/>
  <c r="J155" i="19"/>
  <c r="K155" i="19"/>
  <c r="I156" i="19"/>
  <c r="J156" i="19"/>
  <c r="K156" i="19"/>
  <c r="I157" i="19"/>
  <c r="J157" i="19"/>
  <c r="K157" i="19"/>
  <c r="AM22" i="23"/>
  <c r="AM19" i="23"/>
  <c r="AQ20" i="23"/>
  <c r="AQ19" i="23"/>
  <c r="AQ18" i="23"/>
  <c r="N3" i="19"/>
  <c r="AG21" i="23"/>
  <c r="H48" i="23"/>
  <c r="G48" i="23"/>
  <c r="F48" i="23"/>
  <c r="E48" i="23"/>
  <c r="D48" i="23"/>
  <c r="C48" i="23"/>
  <c r="A48" i="23"/>
  <c r="A22" i="23"/>
  <c r="C22" i="23"/>
  <c r="D22" i="23"/>
  <c r="E22" i="23"/>
  <c r="F22" i="23"/>
  <c r="G22" i="23"/>
  <c r="H22" i="23"/>
  <c r="AG18" i="23"/>
  <c r="H68" i="23"/>
  <c r="G68" i="23"/>
  <c r="F68" i="23"/>
  <c r="E68" i="23"/>
  <c r="D68" i="23"/>
  <c r="A68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M3" i="19"/>
  <c r="L3" i="19"/>
  <c r="K3" i="19"/>
  <c r="J3" i="19"/>
  <c r="I3" i="19"/>
  <c r="H3" i="19"/>
  <c r="N70" i="19"/>
  <c r="K70" i="19"/>
  <c r="I70" i="19"/>
  <c r="J70" i="19"/>
  <c r="AG19" i="23"/>
  <c r="K198" i="19"/>
  <c r="J198" i="19"/>
  <c r="I198" i="19"/>
  <c r="K197" i="19"/>
  <c r="J197" i="19"/>
  <c r="I197" i="19"/>
  <c r="K196" i="19"/>
  <c r="J196" i="19"/>
  <c r="I196" i="19"/>
  <c r="K195" i="19"/>
  <c r="J195" i="19"/>
  <c r="I195" i="19"/>
  <c r="K194" i="19"/>
  <c r="J194" i="19"/>
  <c r="I194" i="19"/>
  <c r="K193" i="19"/>
  <c r="J193" i="19"/>
  <c r="I193" i="19"/>
  <c r="A79" i="23"/>
  <c r="H123" i="23"/>
  <c r="G123" i="23"/>
  <c r="F123" i="23"/>
  <c r="E123" i="23"/>
  <c r="D123" i="23"/>
  <c r="C123" i="23"/>
  <c r="H24" i="23"/>
  <c r="G24" i="23"/>
  <c r="F24" i="23"/>
  <c r="E24" i="23"/>
  <c r="D24" i="23"/>
  <c r="C24" i="23"/>
  <c r="A24" i="23"/>
  <c r="J162" i="21"/>
  <c r="K162" i="21"/>
  <c r="H73" i="23"/>
  <c r="G73" i="23"/>
  <c r="F73" i="23"/>
  <c r="E73" i="23"/>
  <c r="D73" i="23"/>
  <c r="C73" i="23"/>
  <c r="A73" i="23"/>
  <c r="H40" i="23"/>
  <c r="G40" i="23"/>
  <c r="F40" i="23"/>
  <c r="E40" i="23"/>
  <c r="D40" i="23"/>
  <c r="C40" i="23"/>
  <c r="A40" i="23"/>
  <c r="I58" i="19"/>
  <c r="C124" i="23"/>
  <c r="D124" i="23"/>
  <c r="E124" i="23"/>
  <c r="F124" i="23"/>
  <c r="G124" i="23"/>
  <c r="H124" i="23"/>
  <c r="N57" i="19"/>
  <c r="N161" i="19"/>
  <c r="N160" i="19"/>
  <c r="N159" i="19"/>
  <c r="N152" i="19"/>
  <c r="N151" i="19"/>
  <c r="N150" i="19"/>
  <c r="N149" i="19"/>
  <c r="N148" i="19"/>
  <c r="N140" i="19"/>
  <c r="N139" i="19"/>
  <c r="N138" i="19"/>
  <c r="N131" i="19"/>
  <c r="N130" i="19"/>
  <c r="N129" i="19"/>
  <c r="N128" i="19"/>
  <c r="N144" i="19"/>
  <c r="N142" i="19"/>
  <c r="N202" i="19"/>
  <c r="N136" i="19"/>
  <c r="N135" i="19"/>
  <c r="N134" i="19"/>
  <c r="N127" i="19"/>
  <c r="N126" i="19"/>
  <c r="N125" i="19"/>
  <c r="N124" i="19"/>
  <c r="N112" i="19"/>
  <c r="N113" i="19"/>
  <c r="N111" i="19"/>
  <c r="N110" i="19"/>
  <c r="N105" i="19"/>
  <c r="N104" i="19"/>
  <c r="N103" i="19"/>
  <c r="N98" i="19"/>
  <c r="N96" i="19"/>
  <c r="N95" i="19"/>
  <c r="N91" i="19"/>
  <c r="N90" i="19"/>
  <c r="N89" i="19"/>
  <c r="N123" i="19"/>
  <c r="N122" i="19"/>
  <c r="N121" i="19"/>
  <c r="N120" i="19"/>
  <c r="N108" i="19"/>
  <c r="N107" i="19"/>
  <c r="N106" i="19"/>
  <c r="N102" i="19"/>
  <c r="N100" i="19"/>
  <c r="N99" i="19"/>
  <c r="N93" i="19"/>
  <c r="N92" i="19"/>
  <c r="N88" i="19"/>
  <c r="N87" i="19"/>
  <c r="N85" i="19"/>
  <c r="N84" i="19"/>
  <c r="N83" i="19"/>
  <c r="N82" i="19"/>
  <c r="N77" i="19"/>
  <c r="N76" i="19"/>
  <c r="N75" i="19"/>
  <c r="N81" i="19"/>
  <c r="N80" i="19"/>
  <c r="N79" i="19"/>
  <c r="N78" i="19"/>
  <c r="N74" i="19"/>
  <c r="N73" i="19"/>
  <c r="N69" i="19"/>
  <c r="N68" i="19"/>
  <c r="N64" i="19"/>
  <c r="N63" i="19"/>
  <c r="N62" i="19"/>
  <c r="N61" i="19"/>
  <c r="N66" i="19"/>
  <c r="N65" i="19"/>
  <c r="N60" i="19"/>
  <c r="N59" i="19"/>
  <c r="N58" i="19"/>
  <c r="N53" i="19"/>
  <c r="N52" i="19"/>
  <c r="N51" i="19"/>
  <c r="N49" i="19"/>
  <c r="N45" i="19"/>
  <c r="N44" i="19"/>
  <c r="N43" i="19"/>
  <c r="N42" i="19"/>
  <c r="N47" i="19"/>
  <c r="N46" i="19"/>
  <c r="N41" i="19"/>
  <c r="N40" i="19"/>
  <c r="N39" i="19"/>
  <c r="N38" i="19"/>
  <c r="N37" i="19"/>
  <c r="N33" i="19"/>
  <c r="N32" i="19"/>
  <c r="N31" i="19"/>
  <c r="N22" i="19"/>
  <c r="N21" i="19"/>
  <c r="N20" i="19"/>
  <c r="N19" i="19"/>
  <c r="N30" i="19"/>
  <c r="N29" i="19"/>
  <c r="N28" i="19"/>
  <c r="N27" i="19"/>
  <c r="N26" i="19"/>
  <c r="N18" i="19"/>
  <c r="N14" i="19"/>
  <c r="N11" i="19"/>
  <c r="N10" i="19"/>
  <c r="N7" i="19"/>
  <c r="I92" i="19"/>
  <c r="K54" i="19"/>
  <c r="J54" i="19"/>
  <c r="I54" i="19"/>
  <c r="K12" i="21"/>
  <c r="J12" i="21"/>
  <c r="J156" i="21"/>
  <c r="K156" i="21"/>
  <c r="J157" i="21"/>
  <c r="K157" i="21"/>
  <c r="J158" i="21"/>
  <c r="K158" i="21"/>
  <c r="J159" i="21"/>
  <c r="K159" i="21"/>
  <c r="J160" i="21"/>
  <c r="K160" i="21"/>
  <c r="J161" i="21"/>
  <c r="K161" i="21"/>
  <c r="J163" i="21"/>
  <c r="K163" i="21"/>
  <c r="J164" i="21"/>
  <c r="K164" i="21"/>
  <c r="J165" i="21"/>
  <c r="K165" i="21"/>
  <c r="J166" i="21"/>
  <c r="K166" i="21"/>
  <c r="J167" i="21"/>
  <c r="K167" i="21"/>
  <c r="J168" i="21"/>
  <c r="K168" i="21"/>
  <c r="J169" i="21"/>
  <c r="K169" i="21"/>
  <c r="J170" i="21"/>
  <c r="K170" i="21"/>
  <c r="J171" i="21"/>
  <c r="K171" i="21"/>
  <c r="J172" i="21"/>
  <c r="K172" i="21"/>
  <c r="J173" i="21"/>
  <c r="K173" i="21"/>
  <c r="J174" i="21"/>
  <c r="K174" i="21"/>
  <c r="J175" i="21"/>
  <c r="K175" i="21"/>
  <c r="J176" i="21"/>
  <c r="K176" i="21"/>
  <c r="J177" i="21"/>
  <c r="K177" i="21"/>
  <c r="J178" i="21"/>
  <c r="K178" i="21"/>
  <c r="J179" i="21"/>
  <c r="K179" i="21"/>
  <c r="J180" i="21"/>
  <c r="K180" i="21"/>
  <c r="J181" i="21"/>
  <c r="K181" i="21"/>
  <c r="K155" i="21"/>
  <c r="J155" i="21"/>
  <c r="J123" i="21"/>
  <c r="K123" i="21"/>
  <c r="J124" i="21"/>
  <c r="K124" i="21"/>
  <c r="J125" i="21"/>
  <c r="K125" i="21"/>
  <c r="J126" i="21"/>
  <c r="K126" i="21"/>
  <c r="J127" i="21"/>
  <c r="K127" i="21"/>
  <c r="J128" i="21"/>
  <c r="K128" i="21"/>
  <c r="J129" i="21"/>
  <c r="K129" i="21"/>
  <c r="J130" i="21"/>
  <c r="K130" i="21"/>
  <c r="J131" i="21"/>
  <c r="K131" i="21"/>
  <c r="J132" i="21"/>
  <c r="K132" i="21"/>
  <c r="J133" i="21"/>
  <c r="K133" i="21"/>
  <c r="J134" i="21"/>
  <c r="K134" i="21"/>
  <c r="J135" i="21"/>
  <c r="K135" i="21"/>
  <c r="J136" i="21"/>
  <c r="K136" i="21"/>
  <c r="J137" i="21"/>
  <c r="K137" i="21"/>
  <c r="J138" i="21"/>
  <c r="K138" i="21"/>
  <c r="J139" i="21"/>
  <c r="K139" i="21"/>
  <c r="J140" i="21"/>
  <c r="K140" i="21"/>
  <c r="J141" i="21"/>
  <c r="K141" i="21"/>
  <c r="K122" i="21"/>
  <c r="J112" i="21"/>
  <c r="K67" i="21"/>
  <c r="J68" i="21"/>
  <c r="K68" i="21"/>
  <c r="J69" i="21"/>
  <c r="K69" i="21"/>
  <c r="J70" i="21"/>
  <c r="K70" i="21"/>
  <c r="J71" i="21"/>
  <c r="K71" i="21"/>
  <c r="J72" i="21"/>
  <c r="K72" i="21"/>
  <c r="J73" i="21"/>
  <c r="K73" i="21"/>
  <c r="J74" i="21"/>
  <c r="K74" i="21"/>
  <c r="J75" i="21"/>
  <c r="K75" i="21"/>
  <c r="J76" i="21"/>
  <c r="K76" i="21"/>
  <c r="J77" i="21"/>
  <c r="K77" i="21"/>
  <c r="J78" i="21"/>
  <c r="K78" i="21"/>
  <c r="J79" i="21"/>
  <c r="K79" i="21"/>
  <c r="J80" i="21"/>
  <c r="K80" i="21"/>
  <c r="J81" i="21"/>
  <c r="K81" i="21"/>
  <c r="J82" i="21"/>
  <c r="K82" i="21"/>
  <c r="J83" i="21"/>
  <c r="K83" i="21"/>
  <c r="J84" i="21"/>
  <c r="K84" i="21"/>
  <c r="J85" i="21"/>
  <c r="K85" i="21"/>
  <c r="J86" i="21"/>
  <c r="K86" i="21"/>
  <c r="J87" i="21"/>
  <c r="K87" i="21"/>
  <c r="J88" i="21"/>
  <c r="K88" i="21"/>
  <c r="J89" i="21"/>
  <c r="K89" i="21"/>
  <c r="J90" i="21"/>
  <c r="K90" i="21"/>
  <c r="J91" i="21"/>
  <c r="K91" i="21"/>
  <c r="J92" i="21"/>
  <c r="K92" i="21"/>
  <c r="J93" i="21"/>
  <c r="K93" i="21"/>
  <c r="J94" i="21"/>
  <c r="K94" i="21"/>
  <c r="J95" i="21"/>
  <c r="K95" i="21"/>
  <c r="J96" i="21"/>
  <c r="K96" i="21"/>
  <c r="J97" i="21"/>
  <c r="K97" i="21"/>
  <c r="J98" i="21"/>
  <c r="K98" i="21"/>
  <c r="J99" i="21"/>
  <c r="K99" i="21"/>
  <c r="J100" i="21"/>
  <c r="K100" i="21"/>
  <c r="J101" i="21"/>
  <c r="K101" i="21"/>
  <c r="J102" i="21"/>
  <c r="K102" i="21"/>
  <c r="J103" i="21"/>
  <c r="K103" i="21"/>
  <c r="J104" i="21"/>
  <c r="K104" i="21"/>
  <c r="J105" i="21"/>
  <c r="K105" i="21"/>
  <c r="K106" i="21"/>
  <c r="J107" i="21"/>
  <c r="K107" i="21"/>
  <c r="J108" i="21"/>
  <c r="K108" i="21"/>
  <c r="J110" i="21"/>
  <c r="K110" i="21"/>
  <c r="J111" i="21"/>
  <c r="K111" i="21"/>
  <c r="K112" i="21"/>
  <c r="K66" i="21"/>
  <c r="J26" i="21"/>
  <c r="K26" i="21"/>
  <c r="J27" i="21"/>
  <c r="K27" i="21"/>
  <c r="J28" i="21"/>
  <c r="K28" i="21"/>
  <c r="J29" i="21"/>
  <c r="K29" i="21"/>
  <c r="J30" i="21"/>
  <c r="K30" i="21"/>
  <c r="J31" i="21"/>
  <c r="K31" i="21"/>
  <c r="J32" i="21"/>
  <c r="K32" i="21"/>
  <c r="J33" i="21"/>
  <c r="K33" i="21"/>
  <c r="J34" i="21"/>
  <c r="K34" i="21"/>
  <c r="J35" i="21"/>
  <c r="K35" i="21"/>
  <c r="J36" i="21"/>
  <c r="K36" i="21"/>
  <c r="J37" i="21"/>
  <c r="K37" i="21"/>
  <c r="J38" i="21"/>
  <c r="K38" i="21"/>
  <c r="J39" i="21"/>
  <c r="K39" i="21"/>
  <c r="J40" i="21"/>
  <c r="K40" i="21"/>
  <c r="J41" i="21"/>
  <c r="K41" i="21"/>
  <c r="J42" i="21"/>
  <c r="K42" i="21"/>
  <c r="J43" i="21"/>
  <c r="K43" i="21"/>
  <c r="J44" i="21"/>
  <c r="K44" i="21"/>
  <c r="J45" i="21"/>
  <c r="K45" i="21"/>
  <c r="J46" i="21"/>
  <c r="K46" i="21"/>
  <c r="J47" i="21"/>
  <c r="K47" i="21"/>
  <c r="J48" i="21"/>
  <c r="K48" i="21"/>
  <c r="J49" i="21"/>
  <c r="K49" i="21"/>
  <c r="J50" i="21"/>
  <c r="K50" i="21"/>
  <c r="J51" i="21"/>
  <c r="K51" i="21"/>
  <c r="J52" i="21"/>
  <c r="K52" i="21"/>
  <c r="J53" i="21"/>
  <c r="K53" i="21"/>
  <c r="J54" i="21"/>
  <c r="K54" i="21"/>
  <c r="J55" i="21"/>
  <c r="K55" i="21"/>
  <c r="J56" i="21"/>
  <c r="K56" i="21"/>
  <c r="J57" i="21"/>
  <c r="K57" i="21"/>
  <c r="J58" i="21"/>
  <c r="K58" i="21"/>
  <c r="J59" i="21"/>
  <c r="K59" i="21"/>
  <c r="J61" i="21"/>
  <c r="K61" i="21"/>
  <c r="J62" i="21"/>
  <c r="K62" i="21"/>
  <c r="K25" i="21"/>
  <c r="J6" i="21"/>
  <c r="J8" i="21"/>
  <c r="G45" i="23"/>
  <c r="AQ21" i="23"/>
  <c r="AO6" i="23"/>
  <c r="AO7" i="23"/>
  <c r="AO8" i="23"/>
  <c r="AO9" i="23"/>
  <c r="AO10" i="23"/>
  <c r="AO5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6" i="23"/>
  <c r="I107" i="23"/>
  <c r="I108" i="23"/>
  <c r="I109" i="23"/>
  <c r="I110" i="23"/>
  <c r="I111" i="23"/>
  <c r="I112" i="23"/>
  <c r="I113" i="23"/>
  <c r="I84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AG20" i="23"/>
  <c r="AG22" i="23"/>
  <c r="A31" i="23"/>
  <c r="C31" i="23"/>
  <c r="D31" i="23"/>
  <c r="E31" i="23"/>
  <c r="F31" i="23"/>
  <c r="G31" i="23"/>
  <c r="H31" i="23"/>
  <c r="AN11" i="23"/>
  <c r="AO11" i="23"/>
  <c r="AM11" i="23"/>
  <c r="AH6" i="23"/>
  <c r="AK6" i="23" s="1"/>
  <c r="AH7" i="23"/>
  <c r="AK7" i="23" s="1"/>
  <c r="L4" i="23"/>
  <c r="AG122" i="23"/>
  <c r="AH8" i="23" s="1"/>
  <c r="AK8" i="23" s="1"/>
  <c r="AM20" i="23"/>
  <c r="AM21" i="23"/>
  <c r="AH10" i="23" s="1"/>
  <c r="AK10" i="23" s="1"/>
  <c r="AJ20" i="23"/>
  <c r="AJ5" i="23" s="1"/>
  <c r="AJ11" i="23" s="1"/>
  <c r="AJ19" i="23"/>
  <c r="AI9" i="23" s="1"/>
  <c r="AJ18" i="23"/>
  <c r="AG5" i="23" s="1"/>
  <c r="AG125" i="23"/>
  <c r="AJ21" i="23" s="1"/>
  <c r="J7" i="21"/>
  <c r="K7" i="21"/>
  <c r="K8" i="21"/>
  <c r="J9" i="21"/>
  <c r="K9" i="21"/>
  <c r="J10" i="21"/>
  <c r="K10" i="21"/>
  <c r="J146" i="19"/>
  <c r="K6" i="21"/>
  <c r="I79" i="19"/>
  <c r="E118" i="23"/>
  <c r="D118" i="23"/>
  <c r="C118" i="23"/>
  <c r="E117" i="23"/>
  <c r="D117" i="23"/>
  <c r="C117" i="23"/>
  <c r="E116" i="23"/>
  <c r="D116" i="23"/>
  <c r="C116" i="23"/>
  <c r="E115" i="23"/>
  <c r="D115" i="23"/>
  <c r="C115" i="23"/>
  <c r="E114" i="23"/>
  <c r="D114" i="23"/>
  <c r="C114" i="23"/>
  <c r="E113" i="23"/>
  <c r="D113" i="23"/>
  <c r="C113" i="23"/>
  <c r="E112" i="23"/>
  <c r="D112" i="23"/>
  <c r="C112" i="23"/>
  <c r="E111" i="23"/>
  <c r="D111" i="23"/>
  <c r="C111" i="23"/>
  <c r="E110" i="23"/>
  <c r="D110" i="23"/>
  <c r="C110" i="23"/>
  <c r="E109" i="23"/>
  <c r="D109" i="23"/>
  <c r="C109" i="23"/>
  <c r="E108" i="23"/>
  <c r="D108" i="23"/>
  <c r="C108" i="23"/>
  <c r="E107" i="23"/>
  <c r="D107" i="23"/>
  <c r="C107" i="23"/>
  <c r="E106" i="23"/>
  <c r="D106" i="23"/>
  <c r="C106" i="23"/>
  <c r="E104" i="23"/>
  <c r="D104" i="23"/>
  <c r="C104" i="23"/>
  <c r="E103" i="23"/>
  <c r="D103" i="23"/>
  <c r="C103" i="23"/>
  <c r="E102" i="23"/>
  <c r="D102" i="23"/>
  <c r="C102" i="23"/>
  <c r="E101" i="23"/>
  <c r="D101" i="23"/>
  <c r="C101" i="23"/>
  <c r="E100" i="23"/>
  <c r="D100" i="23"/>
  <c r="C100" i="23"/>
  <c r="E99" i="23"/>
  <c r="D99" i="23"/>
  <c r="C99" i="23"/>
  <c r="E98" i="23"/>
  <c r="D98" i="23"/>
  <c r="C98" i="23"/>
  <c r="E97" i="23"/>
  <c r="D97" i="23"/>
  <c r="C97" i="23"/>
  <c r="E96" i="23"/>
  <c r="D96" i="23"/>
  <c r="C96" i="23"/>
  <c r="E95" i="23"/>
  <c r="D95" i="23"/>
  <c r="C95" i="23"/>
  <c r="E94" i="23"/>
  <c r="D94" i="23"/>
  <c r="C94" i="23"/>
  <c r="E93" i="23"/>
  <c r="D93" i="23"/>
  <c r="C93" i="23"/>
  <c r="E92" i="23"/>
  <c r="D92" i="23"/>
  <c r="C92" i="23"/>
  <c r="E91" i="23"/>
  <c r="D91" i="23"/>
  <c r="C91" i="23"/>
  <c r="E90" i="23"/>
  <c r="D90" i="23"/>
  <c r="C90" i="23"/>
  <c r="E89" i="23"/>
  <c r="D89" i="23"/>
  <c r="C89" i="23"/>
  <c r="E88" i="23"/>
  <c r="D88" i="23"/>
  <c r="C88" i="23"/>
  <c r="E87" i="23"/>
  <c r="D87" i="23"/>
  <c r="C87" i="23"/>
  <c r="E86" i="23"/>
  <c r="D86" i="23"/>
  <c r="C86" i="23"/>
  <c r="E85" i="23"/>
  <c r="D85" i="23"/>
  <c r="C85" i="23"/>
  <c r="E84" i="23"/>
  <c r="D84" i="23"/>
  <c r="C84" i="23"/>
  <c r="E75" i="23"/>
  <c r="D75" i="23"/>
  <c r="C75" i="23"/>
  <c r="E72" i="23"/>
  <c r="D72" i="23"/>
  <c r="C72" i="23"/>
  <c r="E71" i="23"/>
  <c r="D71" i="23"/>
  <c r="C71" i="23"/>
  <c r="E69" i="23"/>
  <c r="D69" i="23"/>
  <c r="C69" i="23"/>
  <c r="E67" i="23"/>
  <c r="D67" i="23"/>
  <c r="C67" i="23"/>
  <c r="E121" i="23"/>
  <c r="D121" i="23"/>
  <c r="C121" i="23"/>
  <c r="E66" i="23"/>
  <c r="D66" i="23"/>
  <c r="C66" i="23"/>
  <c r="E65" i="23"/>
  <c r="D65" i="23"/>
  <c r="C65" i="23"/>
  <c r="E63" i="23"/>
  <c r="D63" i="23"/>
  <c r="C63" i="23"/>
  <c r="E62" i="23"/>
  <c r="D62" i="23"/>
  <c r="C62" i="23"/>
  <c r="E61" i="23"/>
  <c r="D61" i="23"/>
  <c r="C61" i="23"/>
  <c r="E60" i="23"/>
  <c r="D60" i="23"/>
  <c r="C60" i="23"/>
  <c r="E59" i="23"/>
  <c r="D59" i="23"/>
  <c r="C59" i="23"/>
  <c r="E58" i="23"/>
  <c r="D58" i="23"/>
  <c r="C58" i="23"/>
  <c r="E126" i="23"/>
  <c r="D126" i="23"/>
  <c r="C126" i="23"/>
  <c r="E55" i="23"/>
  <c r="D55" i="23"/>
  <c r="C55" i="23"/>
  <c r="E54" i="23"/>
  <c r="D54" i="23"/>
  <c r="C54" i="23"/>
  <c r="E53" i="23"/>
  <c r="D53" i="23"/>
  <c r="C53" i="23"/>
  <c r="E52" i="23"/>
  <c r="D52" i="23"/>
  <c r="C52" i="23"/>
  <c r="E51" i="23"/>
  <c r="D51" i="23"/>
  <c r="C51" i="23"/>
  <c r="E50" i="23"/>
  <c r="D50" i="23"/>
  <c r="C50" i="23"/>
  <c r="E49" i="23"/>
  <c r="D49" i="23"/>
  <c r="C49" i="23"/>
  <c r="E119" i="23"/>
  <c r="D119" i="23"/>
  <c r="C119" i="23"/>
  <c r="E46" i="23"/>
  <c r="D46" i="23"/>
  <c r="C46" i="23"/>
  <c r="E45" i="23"/>
  <c r="D45" i="23"/>
  <c r="C45" i="23"/>
  <c r="E44" i="23"/>
  <c r="D44" i="23"/>
  <c r="C44" i="23"/>
  <c r="E43" i="23"/>
  <c r="D43" i="23"/>
  <c r="C43" i="23"/>
  <c r="E42" i="23"/>
  <c r="D42" i="23"/>
  <c r="C42" i="23"/>
  <c r="E39" i="23"/>
  <c r="D39" i="23"/>
  <c r="C39" i="23"/>
  <c r="E38" i="23"/>
  <c r="D38" i="23"/>
  <c r="C38" i="23"/>
  <c r="E37" i="23"/>
  <c r="D37" i="23"/>
  <c r="C37" i="23"/>
  <c r="E122" i="23"/>
  <c r="D122" i="23"/>
  <c r="C122" i="23"/>
  <c r="E36" i="23"/>
  <c r="D36" i="23"/>
  <c r="C36" i="23"/>
  <c r="E35" i="23"/>
  <c r="D35" i="23"/>
  <c r="C35" i="23"/>
  <c r="E34" i="23"/>
  <c r="D34" i="23"/>
  <c r="C34" i="23"/>
  <c r="E33" i="23"/>
  <c r="D33" i="23"/>
  <c r="C33" i="23"/>
  <c r="E30" i="23"/>
  <c r="D30" i="23"/>
  <c r="C30" i="23"/>
  <c r="E29" i="23"/>
  <c r="D29" i="23"/>
  <c r="C29" i="23"/>
  <c r="E28" i="23"/>
  <c r="D28" i="23"/>
  <c r="C28" i="23"/>
  <c r="E27" i="23"/>
  <c r="D27" i="23"/>
  <c r="C27" i="23"/>
  <c r="E26" i="23"/>
  <c r="D26" i="23"/>
  <c r="C26" i="23"/>
  <c r="E125" i="23"/>
  <c r="D125" i="23"/>
  <c r="C125" i="23"/>
  <c r="E25" i="23"/>
  <c r="D25" i="23"/>
  <c r="C25" i="23"/>
  <c r="E21" i="23"/>
  <c r="D21" i="23"/>
  <c r="C21" i="23"/>
  <c r="E20" i="23"/>
  <c r="D20" i="23"/>
  <c r="C20" i="23"/>
  <c r="E19" i="23"/>
  <c r="D19" i="23"/>
  <c r="C19" i="23"/>
  <c r="E18" i="23"/>
  <c r="D18" i="23"/>
  <c r="C18" i="23"/>
  <c r="E17" i="23"/>
  <c r="D17" i="23"/>
  <c r="C17" i="23"/>
  <c r="E16" i="23"/>
  <c r="D16" i="23"/>
  <c r="C16" i="23"/>
  <c r="E15" i="23"/>
  <c r="D15" i="23"/>
  <c r="C15" i="23"/>
  <c r="E14" i="23"/>
  <c r="D14" i="23"/>
  <c r="C14" i="23"/>
  <c r="E12" i="23"/>
  <c r="D12" i="23"/>
  <c r="C12" i="23"/>
  <c r="E11" i="23"/>
  <c r="D11" i="23"/>
  <c r="C11" i="23"/>
  <c r="E10" i="23"/>
  <c r="D10" i="23"/>
  <c r="C10" i="23"/>
  <c r="E8" i="23"/>
  <c r="D8" i="23"/>
  <c r="C8" i="23"/>
  <c r="E7" i="23"/>
  <c r="D7" i="23"/>
  <c r="C7" i="23"/>
  <c r="E6" i="23"/>
  <c r="D6" i="23"/>
  <c r="C6" i="23"/>
  <c r="F6" i="23"/>
  <c r="I159" i="19"/>
  <c r="J163" i="19"/>
  <c r="J148" i="19"/>
  <c r="K163" i="19"/>
  <c r="K146" i="19"/>
  <c r="K161" i="19"/>
  <c r="K160" i="19"/>
  <c r="K159" i="19"/>
  <c r="K152" i="19"/>
  <c r="K151" i="19"/>
  <c r="K150" i="19"/>
  <c r="K149" i="19"/>
  <c r="K148" i="19"/>
  <c r="K147" i="19"/>
  <c r="K144" i="19"/>
  <c r="K143" i="19"/>
  <c r="K142" i="19"/>
  <c r="K202" i="19"/>
  <c r="K123" i="19"/>
  <c r="K122" i="19"/>
  <c r="K121" i="19"/>
  <c r="K120" i="19"/>
  <c r="K127" i="19"/>
  <c r="K126" i="19"/>
  <c r="K125" i="19"/>
  <c r="K124" i="19"/>
  <c r="K140" i="19"/>
  <c r="K139" i="19"/>
  <c r="K138" i="19"/>
  <c r="K137" i="19"/>
  <c r="K136" i="19"/>
  <c r="K135" i="19"/>
  <c r="K134" i="19"/>
  <c r="K133" i="19"/>
  <c r="K132" i="19"/>
  <c r="K131" i="19"/>
  <c r="K130" i="19"/>
  <c r="K129" i="19"/>
  <c r="K128" i="19"/>
  <c r="K118" i="19"/>
  <c r="K117" i="19"/>
  <c r="K116" i="19"/>
  <c r="K115" i="19"/>
  <c r="K112" i="19"/>
  <c r="K113" i="19"/>
  <c r="K111" i="19"/>
  <c r="K110" i="19"/>
  <c r="K108" i="19"/>
  <c r="K107" i="19"/>
  <c r="K106" i="19"/>
  <c r="K105" i="19"/>
  <c r="K104" i="19"/>
  <c r="K103" i="19"/>
  <c r="K102" i="19"/>
  <c r="K100" i="19"/>
  <c r="K99" i="19"/>
  <c r="K98" i="19"/>
  <c r="K96" i="19"/>
  <c r="K95" i="19"/>
  <c r="K93" i="19"/>
  <c r="K92" i="19"/>
  <c r="K91" i="19"/>
  <c r="K90" i="19"/>
  <c r="K89" i="19"/>
  <c r="K88" i="19"/>
  <c r="K87" i="19"/>
  <c r="K85" i="19"/>
  <c r="K84" i="19"/>
  <c r="K83" i="19"/>
  <c r="K82" i="19"/>
  <c r="K81" i="19"/>
  <c r="K80" i="19"/>
  <c r="K79" i="19"/>
  <c r="K78" i="19"/>
  <c r="K77" i="19"/>
  <c r="K76" i="19"/>
  <c r="K75" i="19"/>
  <c r="K74" i="19"/>
  <c r="K73" i="19"/>
  <c r="K72" i="19"/>
  <c r="K71" i="19"/>
  <c r="K69" i="19"/>
  <c r="K68" i="19"/>
  <c r="K53" i="19"/>
  <c r="K66" i="19"/>
  <c r="K65" i="19"/>
  <c r="K64" i="19"/>
  <c r="K63" i="19"/>
  <c r="K62" i="19"/>
  <c r="K61" i="19"/>
  <c r="K57" i="19"/>
  <c r="K56" i="19"/>
  <c r="K60" i="19"/>
  <c r="K59" i="19"/>
  <c r="K58" i="19"/>
  <c r="K52" i="19"/>
  <c r="K51" i="19"/>
  <c r="K50" i="19"/>
  <c r="K49" i="19"/>
  <c r="K45" i="19"/>
  <c r="K44" i="19"/>
  <c r="K43" i="19"/>
  <c r="K42" i="19"/>
  <c r="K47" i="19"/>
  <c r="K46" i="19"/>
  <c r="K41" i="19"/>
  <c r="K40" i="19"/>
  <c r="K39" i="19"/>
  <c r="K38" i="19"/>
  <c r="K37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J161" i="19"/>
  <c r="J160" i="19"/>
  <c r="J159" i="19"/>
  <c r="J152" i="19"/>
  <c r="J151" i="19"/>
  <c r="J150" i="19"/>
  <c r="J149" i="19"/>
  <c r="J147" i="19"/>
  <c r="J144" i="19"/>
  <c r="J143" i="19"/>
  <c r="J142" i="19"/>
  <c r="J202" i="19"/>
  <c r="J123" i="19"/>
  <c r="J122" i="19"/>
  <c r="J121" i="19"/>
  <c r="J120" i="19"/>
  <c r="J127" i="19"/>
  <c r="J126" i="19"/>
  <c r="J125" i="19"/>
  <c r="J124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18" i="19"/>
  <c r="J117" i="19"/>
  <c r="J116" i="19"/>
  <c r="J115" i="19"/>
  <c r="J112" i="19"/>
  <c r="J113" i="19"/>
  <c r="J111" i="19"/>
  <c r="J110" i="19"/>
  <c r="J108" i="19"/>
  <c r="J107" i="19"/>
  <c r="J106" i="19"/>
  <c r="J105" i="19"/>
  <c r="J104" i="19"/>
  <c r="J103" i="19"/>
  <c r="J102" i="19"/>
  <c r="J100" i="19"/>
  <c r="J99" i="19"/>
  <c r="J98" i="19"/>
  <c r="J96" i="19"/>
  <c r="J95" i="19"/>
  <c r="J93" i="19"/>
  <c r="J92" i="19"/>
  <c r="J91" i="19"/>
  <c r="J90" i="19"/>
  <c r="J89" i="19"/>
  <c r="J88" i="19"/>
  <c r="J87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69" i="19"/>
  <c r="J68" i="19"/>
  <c r="J53" i="19"/>
  <c r="J66" i="19"/>
  <c r="J65" i="19"/>
  <c r="J64" i="19"/>
  <c r="J63" i="19"/>
  <c r="J62" i="19"/>
  <c r="J61" i="19"/>
  <c r="J57" i="19"/>
  <c r="J56" i="19"/>
  <c r="J60" i="19"/>
  <c r="J59" i="19"/>
  <c r="J58" i="19"/>
  <c r="J52" i="19"/>
  <c r="J51" i="19"/>
  <c r="J50" i="19"/>
  <c r="J49" i="19"/>
  <c r="J45" i="19"/>
  <c r="J44" i="19"/>
  <c r="J43" i="19"/>
  <c r="J42" i="19"/>
  <c r="J47" i="19"/>
  <c r="J46" i="19"/>
  <c r="J41" i="19"/>
  <c r="J40" i="19"/>
  <c r="J39" i="19"/>
  <c r="J38" i="19"/>
  <c r="J37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I163" i="19"/>
  <c r="I146" i="19"/>
  <c r="I161" i="19"/>
  <c r="I160" i="19"/>
  <c r="I152" i="19"/>
  <c r="I151" i="19"/>
  <c r="I150" i="19"/>
  <c r="I149" i="19"/>
  <c r="I148" i="19"/>
  <c r="I147" i="19"/>
  <c r="I144" i="19"/>
  <c r="I143" i="19"/>
  <c r="I142" i="19"/>
  <c r="I202" i="19"/>
  <c r="I123" i="19"/>
  <c r="I122" i="19"/>
  <c r="I121" i="19"/>
  <c r="I120" i="19"/>
  <c r="I127" i="19"/>
  <c r="I126" i="19"/>
  <c r="I125" i="19"/>
  <c r="I124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18" i="19"/>
  <c r="I117" i="19"/>
  <c r="I116" i="19"/>
  <c r="I115" i="19"/>
  <c r="I112" i="19"/>
  <c r="I113" i="19"/>
  <c r="I111" i="19"/>
  <c r="I110" i="19"/>
  <c r="I108" i="19"/>
  <c r="I107" i="19"/>
  <c r="I106" i="19"/>
  <c r="I105" i="19"/>
  <c r="I104" i="19"/>
  <c r="I103" i="19"/>
  <c r="I102" i="19"/>
  <c r="I100" i="19"/>
  <c r="I99" i="19"/>
  <c r="I98" i="19"/>
  <c r="I96" i="19"/>
  <c r="I95" i="19"/>
  <c r="I93" i="19"/>
  <c r="I91" i="19"/>
  <c r="I90" i="19"/>
  <c r="I89" i="19"/>
  <c r="I88" i="19"/>
  <c r="I87" i="19"/>
  <c r="I84" i="19"/>
  <c r="I85" i="19"/>
  <c r="I83" i="19"/>
  <c r="I82" i="19"/>
  <c r="I81" i="19"/>
  <c r="I80" i="19"/>
  <c r="I78" i="19"/>
  <c r="I77" i="19"/>
  <c r="I76" i="19"/>
  <c r="I75" i="19"/>
  <c r="I74" i="19"/>
  <c r="I73" i="19"/>
  <c r="I72" i="19"/>
  <c r="I71" i="19"/>
  <c r="I69" i="19"/>
  <c r="I68" i="19"/>
  <c r="I53" i="19"/>
  <c r="I66" i="19"/>
  <c r="I65" i="19"/>
  <c r="I64" i="19"/>
  <c r="I63" i="19"/>
  <c r="I62" i="19"/>
  <c r="I61" i="19"/>
  <c r="I57" i="19"/>
  <c r="I56" i="19"/>
  <c r="I60" i="19"/>
  <c r="I59" i="19"/>
  <c r="I52" i="19"/>
  <c r="I51" i="19"/>
  <c r="I50" i="19"/>
  <c r="I49" i="19"/>
  <c r="I45" i="19"/>
  <c r="I44" i="19"/>
  <c r="I43" i="19"/>
  <c r="I42" i="19"/>
  <c r="I47" i="19"/>
  <c r="I46" i="19"/>
  <c r="I41" i="19"/>
  <c r="I40" i="19"/>
  <c r="I39" i="19"/>
  <c r="I38" i="19"/>
  <c r="I37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H65" i="23"/>
  <c r="H66" i="23"/>
  <c r="H121" i="23"/>
  <c r="H67" i="23"/>
  <c r="H69" i="23"/>
  <c r="H58" i="23"/>
  <c r="H59" i="23"/>
  <c r="H60" i="23"/>
  <c r="H61" i="23"/>
  <c r="H62" i="23"/>
  <c r="H63" i="23"/>
  <c r="H119" i="23"/>
  <c r="H49" i="23"/>
  <c r="H50" i="23"/>
  <c r="H51" i="23"/>
  <c r="H52" i="23"/>
  <c r="H53" i="23"/>
  <c r="H54" i="23"/>
  <c r="H55" i="23"/>
  <c r="H126" i="23"/>
  <c r="H42" i="23"/>
  <c r="H43" i="23"/>
  <c r="H44" i="23"/>
  <c r="H45" i="23"/>
  <c r="H46" i="23"/>
  <c r="H33" i="23"/>
  <c r="H34" i="23"/>
  <c r="H35" i="23"/>
  <c r="H36" i="23"/>
  <c r="H122" i="23"/>
  <c r="H37" i="23"/>
  <c r="H38" i="23"/>
  <c r="H39" i="23"/>
  <c r="H25" i="23"/>
  <c r="H125" i="23"/>
  <c r="H26" i="23"/>
  <c r="H27" i="23"/>
  <c r="H28" i="23"/>
  <c r="H29" i="23"/>
  <c r="H30" i="23"/>
  <c r="H14" i="23"/>
  <c r="H15" i="23"/>
  <c r="H16" i="23"/>
  <c r="H17" i="23"/>
  <c r="H18" i="23"/>
  <c r="H19" i="23"/>
  <c r="H20" i="23"/>
  <c r="H21" i="23"/>
  <c r="H10" i="23"/>
  <c r="H11" i="23"/>
  <c r="H12" i="23"/>
  <c r="H7" i="23"/>
  <c r="H8" i="23"/>
  <c r="H6" i="23"/>
  <c r="G75" i="23"/>
  <c r="G71" i="23"/>
  <c r="G72" i="23"/>
  <c r="G65" i="23"/>
  <c r="G66" i="23"/>
  <c r="G121" i="23"/>
  <c r="G67" i="23"/>
  <c r="G69" i="23"/>
  <c r="G58" i="23"/>
  <c r="G59" i="23"/>
  <c r="G60" i="23"/>
  <c r="G61" i="23"/>
  <c r="G62" i="23"/>
  <c r="G63" i="23"/>
  <c r="G119" i="23"/>
  <c r="G49" i="23"/>
  <c r="G50" i="23"/>
  <c r="G51" i="23"/>
  <c r="G52" i="23"/>
  <c r="G53" i="23"/>
  <c r="G54" i="23"/>
  <c r="G55" i="23"/>
  <c r="G126" i="23"/>
  <c r="G42" i="23"/>
  <c r="G43" i="23"/>
  <c r="G44" i="23"/>
  <c r="G46" i="23"/>
  <c r="G33" i="23"/>
  <c r="G34" i="23"/>
  <c r="G35" i="23"/>
  <c r="G36" i="23"/>
  <c r="G122" i="23"/>
  <c r="G37" i="23"/>
  <c r="G38" i="23"/>
  <c r="G39" i="23"/>
  <c r="G25" i="23"/>
  <c r="G125" i="23"/>
  <c r="G26" i="23"/>
  <c r="G27" i="23"/>
  <c r="G28" i="23"/>
  <c r="G29" i="23"/>
  <c r="G30" i="23"/>
  <c r="G14" i="23"/>
  <c r="G15" i="23"/>
  <c r="G16" i="23"/>
  <c r="G17" i="23"/>
  <c r="G18" i="23"/>
  <c r="G19" i="23"/>
  <c r="G20" i="23"/>
  <c r="G21" i="23"/>
  <c r="G10" i="23"/>
  <c r="G11" i="23"/>
  <c r="G12" i="23"/>
  <c r="G7" i="23"/>
  <c r="G8" i="23"/>
  <c r="G6" i="23"/>
  <c r="F75" i="23"/>
  <c r="F71" i="23"/>
  <c r="F72" i="23"/>
  <c r="F65" i="23"/>
  <c r="F66" i="23"/>
  <c r="F121" i="23"/>
  <c r="F67" i="23"/>
  <c r="F69" i="23"/>
  <c r="F58" i="23"/>
  <c r="F59" i="23"/>
  <c r="F60" i="23"/>
  <c r="F61" i="23"/>
  <c r="F62" i="23"/>
  <c r="F63" i="23"/>
  <c r="F119" i="23"/>
  <c r="F49" i="23"/>
  <c r="F50" i="23"/>
  <c r="F51" i="23"/>
  <c r="F52" i="23"/>
  <c r="F53" i="23"/>
  <c r="F54" i="23"/>
  <c r="F55" i="23"/>
  <c r="F126" i="23"/>
  <c r="F42" i="23"/>
  <c r="F43" i="23"/>
  <c r="F44" i="23"/>
  <c r="F45" i="23"/>
  <c r="F46" i="23"/>
  <c r="F33" i="23"/>
  <c r="F34" i="23"/>
  <c r="F35" i="23"/>
  <c r="F36" i="23"/>
  <c r="F122" i="23"/>
  <c r="F37" i="23"/>
  <c r="F38" i="23"/>
  <c r="F39" i="23"/>
  <c r="F25" i="23"/>
  <c r="F125" i="23"/>
  <c r="F26" i="23"/>
  <c r="F27" i="23"/>
  <c r="F28" i="23"/>
  <c r="F29" i="23"/>
  <c r="F30" i="23"/>
  <c r="F14" i="23"/>
  <c r="F15" i="23"/>
  <c r="F16" i="23"/>
  <c r="F17" i="23"/>
  <c r="F18" i="23"/>
  <c r="F19" i="23"/>
  <c r="F20" i="23"/>
  <c r="F21" i="23"/>
  <c r="F10" i="23"/>
  <c r="F11" i="23"/>
  <c r="F12" i="23"/>
  <c r="F7" i="23"/>
  <c r="F8" i="23"/>
  <c r="A77" i="23"/>
  <c r="A78" i="23"/>
  <c r="A80" i="23"/>
  <c r="A75" i="23"/>
  <c r="A71" i="23"/>
  <c r="A72" i="23"/>
  <c r="A65" i="23"/>
  <c r="A66" i="23"/>
  <c r="A67" i="23"/>
  <c r="A69" i="23"/>
  <c r="A58" i="23"/>
  <c r="A59" i="23"/>
  <c r="A60" i="23"/>
  <c r="A61" i="23"/>
  <c r="A62" i="23"/>
  <c r="A63" i="23"/>
  <c r="A49" i="23"/>
  <c r="A50" i="23"/>
  <c r="A51" i="23"/>
  <c r="A52" i="23"/>
  <c r="A53" i="23"/>
  <c r="A54" i="23"/>
  <c r="A55" i="23"/>
  <c r="A126" i="23"/>
  <c r="A42" i="23"/>
  <c r="A43" i="23"/>
  <c r="A44" i="23"/>
  <c r="A45" i="23"/>
  <c r="A46" i="23"/>
  <c r="A33" i="23"/>
  <c r="A34" i="23"/>
  <c r="A35" i="23"/>
  <c r="A36" i="23"/>
  <c r="A37" i="23"/>
  <c r="A38" i="23"/>
  <c r="A39" i="23"/>
  <c r="A25" i="23"/>
  <c r="A26" i="23"/>
  <c r="A27" i="23"/>
  <c r="A28" i="23"/>
  <c r="A29" i="23"/>
  <c r="A30" i="23"/>
  <c r="A14" i="23"/>
  <c r="A15" i="23"/>
  <c r="A16" i="23"/>
  <c r="A17" i="23"/>
  <c r="A18" i="23"/>
  <c r="A19" i="23"/>
  <c r="A20" i="23"/>
  <c r="A21" i="23"/>
  <c r="A10" i="23"/>
  <c r="A11" i="23"/>
  <c r="A12" i="23"/>
  <c r="A7" i="23"/>
  <c r="A8" i="23"/>
  <c r="A6" i="23"/>
  <c r="H75" i="23"/>
  <c r="H72" i="23"/>
  <c r="H71" i="23"/>
  <c r="L5" i="22"/>
  <c r="A71" i="22"/>
  <c r="A69" i="22"/>
  <c r="A68" i="22"/>
  <c r="A66" i="22"/>
  <c r="A65" i="22"/>
  <c r="A64" i="22"/>
  <c r="A63" i="22"/>
  <c r="A62" i="22"/>
  <c r="A60" i="22"/>
  <c r="A59" i="22"/>
  <c r="A58" i="22"/>
  <c r="A57" i="22"/>
  <c r="A56" i="22"/>
  <c r="A55" i="22"/>
  <c r="A53" i="22"/>
  <c r="A52" i="22"/>
  <c r="A51" i="22"/>
  <c r="A50" i="22"/>
  <c r="A49" i="22"/>
  <c r="A48" i="22"/>
  <c r="A47" i="22"/>
  <c r="A46" i="22"/>
  <c r="A45" i="22"/>
  <c r="A43" i="22"/>
  <c r="A42" i="22"/>
  <c r="A41" i="22"/>
  <c r="A40" i="22"/>
  <c r="A38" i="22"/>
  <c r="A37" i="22"/>
  <c r="A36" i="22"/>
  <c r="A35" i="22"/>
  <c r="A34" i="22"/>
  <c r="A33" i="22"/>
  <c r="A32" i="22"/>
  <c r="A31" i="22"/>
  <c r="A29" i="22"/>
  <c r="A28" i="22"/>
  <c r="A27" i="22"/>
  <c r="A26" i="22"/>
  <c r="A25" i="22"/>
  <c r="A24" i="22"/>
  <c r="A23" i="22"/>
  <c r="A21" i="22"/>
  <c r="A20" i="22"/>
  <c r="A19" i="22"/>
  <c r="A18" i="22"/>
  <c r="A17" i="22"/>
  <c r="A16" i="22"/>
  <c r="A15" i="22"/>
  <c r="A14" i="22"/>
  <c r="A13" i="22"/>
  <c r="A11" i="22"/>
  <c r="A10" i="22"/>
  <c r="A9" i="22"/>
  <c r="A7" i="22"/>
  <c r="Q5" i="22"/>
  <c r="P5" i="22"/>
  <c r="O5" i="22"/>
  <c r="N5" i="22"/>
  <c r="M5" i="22"/>
  <c r="A29" i="10"/>
  <c r="A30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M23" i="23" l="1"/>
  <c r="AI11" i="23"/>
  <c r="AK9" i="23"/>
  <c r="AG11" i="23"/>
  <c r="AK5" i="23"/>
  <c r="AK11" i="23" s="1"/>
  <c r="AH1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Đào Duy Tùng</author>
  </authors>
  <commentList>
    <comment ref="AM18" authorId="0" shapeId="0" xr:uid="{C501E20A-19D2-4396-BF46-FC03E71CCE5D}">
      <text>
        <r>
          <rPr>
            <sz val="11"/>
            <color theme="1"/>
            <rFont val="Aptos Narrow"/>
            <family val="2"/>
            <scheme val="minor"/>
          </rPr>
          <t xml:space="preserve">Đào Duy Tùng:
Lưu kho HCNS 1 surface laptop. 
từ Thu Giang Cretive </t>
        </r>
      </text>
    </comment>
  </commentList>
</comments>
</file>

<file path=xl/sharedStrings.xml><?xml version="1.0" encoding="utf-8"?>
<sst xmlns="http://schemas.openxmlformats.org/spreadsheetml/2006/main" count="7962" uniqueCount="1716">
  <si>
    <t>Mã tài sản</t>
  </si>
  <si>
    <t>Tên tài sản</t>
  </si>
  <si>
    <t>Vị trí</t>
  </si>
  <si>
    <t>Hãng mua</t>
  </si>
  <si>
    <t>Thông số 
kĩ thuật</t>
  </si>
  <si>
    <t>Mã số 
bảo hành</t>
  </si>
  <si>
    <t>Đơn vị tính</t>
  </si>
  <si>
    <t>Số lượng</t>
  </si>
  <si>
    <t>Mã nhân viên
 sử dụng gần nhất</t>
  </si>
  <si>
    <t>Họ tên nhân viên
sử dụng gần nhất</t>
  </si>
  <si>
    <t>Bộ phận 
sử dụng gần nhất</t>
  </si>
  <si>
    <t>Ngày cấp</t>
  </si>
  <si>
    <t>Đơn vị mua</t>
  </si>
  <si>
    <t>Người sử dụng 1</t>
  </si>
  <si>
    <t>Người sử dụng 2</t>
  </si>
  <si>
    <t>Người sử dụng 3</t>
  </si>
  <si>
    <t>TÊN TÀI SẢN</t>
  </si>
  <si>
    <t>Tổng của SỐ LƯỢNG</t>
  </si>
  <si>
    <t>Bàn ban công</t>
  </si>
  <si>
    <t>Bàn đơn TBP</t>
  </si>
  <si>
    <t>Bàn gỗ có hộc</t>
  </si>
  <si>
    <t>Bàn gỗ không hộc</t>
  </si>
  <si>
    <t>Bàn làm việc mặt gỗ</t>
  </si>
  <si>
    <t>Bàn làm việc mặt kính</t>
  </si>
  <si>
    <t>Bàn làm việc TGD</t>
  </si>
  <si>
    <t>Bàn phòng họp (dài)</t>
  </si>
  <si>
    <t>Bàn phòng họp (ngắn)</t>
  </si>
  <si>
    <t>Bàn tiếp khách mặt cong (màu trắng)</t>
  </si>
  <si>
    <t>Bàn tiếp khách tròn mặt kính</t>
  </si>
  <si>
    <t>Bàn tròn trơn mặt gỗ (Màu trắng)</t>
  </si>
  <si>
    <t>Bể cá cảnh</t>
  </si>
  <si>
    <t>Bộ trà ấm tiếp khách</t>
  </si>
  <si>
    <t>Camera</t>
  </si>
  <si>
    <t>Camera chiếu tivi</t>
  </si>
  <si>
    <t>Cây nước (Nóng/lạnh)</t>
  </si>
  <si>
    <t>Đầu ghi</t>
  </si>
  <si>
    <t xml:space="preserve">Ghế 4 chân </t>
  </si>
  <si>
    <t>Ghế ban công</t>
  </si>
  <si>
    <t>Ghế băng dài</t>
  </si>
  <si>
    <t>Ghế chân quỳ</t>
  </si>
  <si>
    <t xml:space="preserve">Ghế gấp </t>
  </si>
  <si>
    <t>Ghế làm việc TGĐ</t>
  </si>
  <si>
    <t>Ghế sofa</t>
  </si>
  <si>
    <t>Ghế TBP - màu đen</t>
  </si>
  <si>
    <t>Ghế TBP - màu trắng</t>
  </si>
  <si>
    <t>Ghế tiếp khách</t>
  </si>
  <si>
    <t>Ghế xoay - chân inox</t>
  </si>
  <si>
    <t>Ghế xoay - chân nhựa</t>
  </si>
  <si>
    <t>Kệ sắt</t>
  </si>
  <si>
    <t>Kệ tài liệu gỗ</t>
  </si>
  <si>
    <t>Lò vi sóng</t>
  </si>
  <si>
    <t>Loa</t>
  </si>
  <si>
    <t>Máy chấm công</t>
  </si>
  <si>
    <t>Máy chiếu</t>
  </si>
  <si>
    <t>Máy hủy tài liệu</t>
  </si>
  <si>
    <t>Máy in</t>
  </si>
  <si>
    <t>Máy pha cafe</t>
  </si>
  <si>
    <t>Máy scan</t>
  </si>
  <si>
    <t xml:space="preserve">Quạt đứng </t>
  </si>
  <si>
    <t>Quạt treo tường</t>
  </si>
  <si>
    <t>Quầy lễ tân</t>
  </si>
  <si>
    <t>Tivi</t>
  </si>
  <si>
    <t xml:space="preserve">Tủ gỗ </t>
  </si>
  <si>
    <t>Tủ lạnh</t>
  </si>
  <si>
    <t>(trống)</t>
  </si>
  <si>
    <t>Tổng Cuối</t>
  </si>
  <si>
    <t>LOẠI TÀI SẢN</t>
  </si>
  <si>
    <t>THÁNG 08.2026</t>
  </si>
  <si>
    <t>THÁNG 09.2026</t>
  </si>
  <si>
    <t>THÁNG 10.2026</t>
  </si>
  <si>
    <t>THÁNG 11.2026</t>
  </si>
  <si>
    <t>THÁNG 12.2026</t>
  </si>
  <si>
    <t>ĐẦU KÌ</t>
  </si>
  <si>
    <t>TĂNG TRONG KÌ</t>
  </si>
  <si>
    <t>GIẢM TRONG KÌ</t>
  </si>
  <si>
    <t>CUỐI KÌ</t>
  </si>
  <si>
    <t>Laptop</t>
  </si>
  <si>
    <t>PC</t>
  </si>
  <si>
    <t>Màn hình máy tính</t>
  </si>
  <si>
    <t xml:space="preserve">Chuột </t>
  </si>
  <si>
    <t>Bàn phím</t>
  </si>
  <si>
    <t>Ổ cứng</t>
  </si>
  <si>
    <r>
      <t>Hanoi Head Office</t>
    </r>
    <r>
      <rPr>
        <sz val="9"/>
        <color rgb="FFFFFFFF"/>
        <rFont val="Times New Roman"/>
      </rPr>
      <t>: 3rd Floor., 69 Building, Nguyen Hy Quang Str., Dong Da Dist., Hanoi, Vietnam</t>
    </r>
    <r>
      <rPr>
        <b/>
        <sz val="9"/>
        <color rgb="FFFFFFFF"/>
        <rFont val="Times New Roman"/>
      </rPr>
      <t xml:space="preserve">
Tel</t>
    </r>
    <r>
      <rPr>
        <sz val="9"/>
        <color rgb="FFFFFFFF"/>
        <rFont val="Times New Roman"/>
      </rPr>
      <t xml:space="preserve">  + 84 24 3715 3303 / 3927 5600     /     </t>
    </r>
    <r>
      <rPr>
        <b/>
        <sz val="9"/>
        <color rgb="FFFFFFFF"/>
        <rFont val="Times New Roman"/>
      </rPr>
      <t>Fax</t>
    </r>
    <r>
      <rPr>
        <sz val="9"/>
        <color rgb="FFFFFFFF"/>
        <rFont val="Times New Roman"/>
      </rPr>
      <t xml:space="preserve">  + 84 24 3627 6563</t>
    </r>
    <r>
      <rPr>
        <b/>
        <sz val="9"/>
        <color rgb="FFFFFFFF"/>
        <rFont val="Times New Roman"/>
      </rPr>
      <t xml:space="preserve">
HCM Branch Office:</t>
    </r>
    <r>
      <rPr>
        <sz val="9"/>
        <color rgb="FFFFFFFF"/>
        <rFont val="Times New Roman"/>
      </rPr>
      <t xml:space="preserve"> 2nd Floor, Ha Do Airport Building - 02 Hong Ha St.,Tan Binh Dist, HCM City, Vietnam</t>
    </r>
    <r>
      <rPr>
        <b/>
        <sz val="9"/>
        <color rgb="FFFFFFFF"/>
        <rFont val="Times New Roman"/>
      </rPr>
      <t xml:space="preserve">
Tel </t>
    </r>
    <r>
      <rPr>
        <sz val="9"/>
        <color rgb="FFFFFFFF"/>
        <rFont val="Times New Roman"/>
      </rPr>
      <t xml:space="preserve">  + 84 28 222 16328</t>
    </r>
    <r>
      <rPr>
        <b/>
        <sz val="9"/>
        <color rgb="FFFFFFFF"/>
        <rFont val="Times New Roman"/>
      </rPr>
      <t xml:space="preserve">
Website</t>
    </r>
    <r>
      <rPr>
        <sz val="9"/>
        <color rgb="FFFFFFFF"/>
        <rFont val="Times New Roman"/>
      </rPr>
      <t>: newdaymedia.com.vn</t>
    </r>
  </si>
  <si>
    <t>THEO DÕI TÀI SẢN TĂNG</t>
  </si>
  <si>
    <t>- Mã PC trống mã : PC053, PC054
- Mã Chuột trống: CH053, CH054
- Mã Bàn phím trống : BP053 BP054</t>
  </si>
  <si>
    <t>STT</t>
  </si>
  <si>
    <t>MÃ TÀI SẢN</t>
  </si>
  <si>
    <t>THÔNG SỐ 
KĨ THUẬT</t>
  </si>
  <si>
    <t>ĐƠN VỊ</t>
  </si>
  <si>
    <t>SỐ LƯỢNG</t>
  </si>
  <si>
    <t>NGÀY MUA</t>
  </si>
  <si>
    <t>GIÁ MUA</t>
  </si>
  <si>
    <t>MNV NGƯỜI ĐỀ XUẤT</t>
  </si>
  <si>
    <t>HỌ TÊN NGƯỜI ĐỀ XUẤT</t>
  </si>
  <si>
    <t>BỘ PHẬN ĐỀ XUẤT</t>
  </si>
  <si>
    <t>MNV NGƯỜI SỬ DỤNG</t>
  </si>
  <si>
    <t xml:space="preserve">NGƯỜI SỬ DỤNG </t>
  </si>
  <si>
    <t>NHÓM NCC</t>
  </si>
  <si>
    <t>ĐƠN VỊ 
CUNG CẤP</t>
  </si>
  <si>
    <t>SĐT KÍCH HOẠT BẢO HÀNH</t>
  </si>
  <si>
    <t>SĐT NCC</t>
  </si>
  <si>
    <t>LINK PHIẾU BẢO HÀNH</t>
  </si>
  <si>
    <t>MÃ THANH TOÁN</t>
  </si>
  <si>
    <t>HC THEO DÕI THÔNG TIN</t>
  </si>
  <si>
    <t>GHI CHÚ</t>
  </si>
  <si>
    <t>NĂM 2025</t>
  </si>
  <si>
    <t>TS máy móc thiết bị</t>
  </si>
  <si>
    <t>Laptop HP 250</t>
  </si>
  <si>
    <t>Chiếc</t>
  </si>
  <si>
    <t>Nguyễn Hồng Nhung</t>
  </si>
  <si>
    <t>Tài chính &amp; Kế toán  - Finance &amp; Accounting</t>
  </si>
  <si>
    <t xml:space="preserve">Đồ điện tử </t>
  </si>
  <si>
    <t>CellphoneS</t>
  </si>
  <si>
    <t>0779262715</t>
  </si>
  <si>
    <t>070825-02</t>
  </si>
  <si>
    <t>Ngô Thị Hồng Hải</t>
  </si>
  <si>
    <t>PC031</t>
  </si>
  <si>
    <t>Hoàng Quốc Nghị</t>
  </si>
  <si>
    <t>Thiết kế - Design</t>
  </si>
  <si>
    <t>Đinh Ngọc Thành</t>
  </si>
  <si>
    <t>Hoàng Hà</t>
  </si>
  <si>
    <t>Phiếu BH</t>
  </si>
  <si>
    <t>MH031</t>
  </si>
  <si>
    <t>CH031</t>
  </si>
  <si>
    <t>MH047</t>
  </si>
  <si>
    <t>Nguyễn Thành Long</t>
  </si>
  <si>
    <t>Sản xuất Video - Video Prodution</t>
  </si>
  <si>
    <t>Lê Công Hoàng</t>
  </si>
  <si>
    <t>An phát</t>
  </si>
  <si>
    <t>PC047</t>
  </si>
  <si>
    <t xml:space="preserve">PC </t>
  </si>
  <si>
    <t>MH048</t>
  </si>
  <si>
    <t>MH043</t>
  </si>
  <si>
    <t>Nguyễn Ngọc Thắng</t>
  </si>
  <si>
    <t>PC050</t>
  </si>
  <si>
    <t>Bùi Xuân Dân</t>
  </si>
  <si>
    <t>Sự kiện - Event</t>
  </si>
  <si>
    <t>Nguyễn Công</t>
  </si>
  <si>
    <t>MH050</t>
  </si>
  <si>
    <t>CAM001</t>
  </si>
  <si>
    <t>Bộ thiết bị cam</t>
  </si>
  <si>
    <t>Bộ</t>
  </si>
  <si>
    <t xml:space="preserve">Tokyo </t>
  </si>
  <si>
    <t xml:space="preserve">LINK
</t>
  </si>
  <si>
    <t>MH051</t>
  </si>
  <si>
    <t>Nguyễn Anh Tuấn</t>
  </si>
  <si>
    <t>MH053</t>
  </si>
  <si>
    <t>PC051</t>
  </si>
  <si>
    <t>BP051</t>
  </si>
  <si>
    <t>CH051</t>
  </si>
  <si>
    <t>MH052</t>
  </si>
  <si>
    <t>Phùng Vân Anh</t>
  </si>
  <si>
    <t>MH054</t>
  </si>
  <si>
    <t>PC052</t>
  </si>
  <si>
    <t>BP052</t>
  </si>
  <si>
    <t>CH052</t>
  </si>
  <si>
    <t>NĂM 2026</t>
  </si>
  <si>
    <t>OC-009</t>
  </si>
  <si>
    <t xml:space="preserve">Ổ cứng </t>
  </si>
  <si>
    <t>Trần Thị Huyền</t>
  </si>
  <si>
    <t>Hành chính nhân sự - HR &amp; Admin</t>
  </si>
  <si>
    <t>Đặng Đức Hoàng</t>
  </si>
  <si>
    <t xml:space="preserve">Công ty Cổ phần máy tính H2 </t>
  </si>
  <si>
    <t>OC-010</t>
  </si>
  <si>
    <t>Nguyễn Thị Thu Hoài</t>
  </si>
  <si>
    <t>OC-011</t>
  </si>
  <si>
    <t>OC-012</t>
  </si>
  <si>
    <t>- HDD</t>
  </si>
  <si>
    <t>RAM01</t>
  </si>
  <si>
    <t>OC-007</t>
  </si>
  <si>
    <t>Nguyễn Mai Hương</t>
  </si>
  <si>
    <t xml:space="preserve">Nguyễn Mạnh Hoàng </t>
  </si>
  <si>
    <t>BP06</t>
  </si>
  <si>
    <t xml:space="preserve">Bàn phím </t>
  </si>
  <si>
    <t>SAC_01</t>
  </si>
  <si>
    <t>Sạc Surface</t>
  </si>
  <si>
    <t>102w</t>
  </si>
  <si>
    <t xml:space="preserve">Nguyễn Chí Hiếu </t>
  </si>
  <si>
    <t xml:space="preserve">Công ty TNHH Thương mại và Dịch vụ Trí Tiến </t>
  </si>
  <si>
    <t>0915129837</t>
  </si>
  <si>
    <t>LT004</t>
  </si>
  <si>
    <t>Máy tính Surface Pro11</t>
  </si>
  <si>
    <t>Nguyễn Ngọc Huyền</t>
  </si>
  <si>
    <t>02437153303</t>
  </si>
  <si>
    <t>0986981616</t>
  </si>
  <si>
    <t>1517945_Phiếu bảo hành SurfacePro11 phòng Creative.pdf</t>
  </si>
  <si>
    <t>BP036</t>
  </si>
  <si>
    <t>PC055</t>
  </si>
  <si>
    <t>Nguyễn Duy Hưng</t>
  </si>
  <si>
    <t>0332101130</t>
  </si>
  <si>
    <t>1530844_Phiếu xuất kho, bảo hành PC - Duy Hưng P.Thiết kế</t>
  </si>
  <si>
    <t>MH055</t>
  </si>
  <si>
    <t>CH055</t>
  </si>
  <si>
    <t>BP055</t>
  </si>
  <si>
    <t>PC056</t>
  </si>
  <si>
    <t>Đào Thị Thùy</t>
  </si>
  <si>
    <t>1568389_Phiếu bảo hành 8 Case PC</t>
  </si>
  <si>
    <t>CH056</t>
  </si>
  <si>
    <t>Lưu kho</t>
  </si>
  <si>
    <t>BP056</t>
  </si>
  <si>
    <t>PC057</t>
  </si>
  <si>
    <t>Ngô Khánh Vi</t>
  </si>
  <si>
    <t>CH057</t>
  </si>
  <si>
    <t>BP057</t>
  </si>
  <si>
    <t>PC058</t>
  </si>
  <si>
    <t>Nguyễn Thị Thùy Linh</t>
  </si>
  <si>
    <t>CH058</t>
  </si>
  <si>
    <t>BP058</t>
  </si>
  <si>
    <t>PC059</t>
  </si>
  <si>
    <t>Lê Thương Huyền</t>
  </si>
  <si>
    <t>CH059</t>
  </si>
  <si>
    <t>BP059</t>
  </si>
  <si>
    <t>PC060</t>
  </si>
  <si>
    <t>CH060</t>
  </si>
  <si>
    <t>BP060</t>
  </si>
  <si>
    <t>PC061</t>
  </si>
  <si>
    <t>Bùi Hữu Đức</t>
  </si>
  <si>
    <t>CH061</t>
  </si>
  <si>
    <t>BP061</t>
  </si>
  <si>
    <t>PC062</t>
  </si>
  <si>
    <t>CH062</t>
  </si>
  <si>
    <t>BP062</t>
  </si>
  <si>
    <t>PC063</t>
  </si>
  <si>
    <t>CH063</t>
  </si>
  <si>
    <t>BP063</t>
  </si>
  <si>
    <t>LT007</t>
  </si>
  <si>
    <t>CTCP XÂY DỰNG VÀ ĐẦU TƯ THƯƠNG MẠI HOÀNG HÀ</t>
  </si>
  <si>
    <t>0868386385</t>
  </si>
  <si>
    <t>0962066208</t>
  </si>
  <si>
    <t>1585192_Phiếu xuất kho bảo hành Macbook Air M5</t>
  </si>
  <si>
    <t>MH056</t>
  </si>
  <si>
    <t>Bùi Trịnh Tuệ Khanh</t>
  </si>
  <si>
    <t>CTCP THƯƠNG MẠI TỔNG HỢP HTV (CELLPHONES)</t>
  </si>
  <si>
    <t>MH057</t>
  </si>
  <si>
    <t>Thái Thị Thanh Thảo</t>
  </si>
  <si>
    <t>MH058</t>
  </si>
  <si>
    <t>Nguyễn Thị Thủy Tiên</t>
  </si>
  <si>
    <t>MH059</t>
  </si>
  <si>
    <t>Nguyễn Việt Thắng</t>
  </si>
  <si>
    <t>MH060</t>
  </si>
  <si>
    <t>Vũ Đăng Duy</t>
  </si>
  <si>
    <t xml:space="preserve">Hanoi Head Office: 80 Nguyen Chi Thanh St., Lang Ward, Hanoi, Vietnam. 
Tel: + 84 24 3715 3303 /     Hotline: +84 904 033 333/ 096 2577770  
Website: newdaymedia.com.vn 
Email: info@newdaymedia.com.vn 
Facebook: Newday Media JSC </t>
  </si>
  <si>
    <t>THEO DÕI TÀI SẢN GIẢM</t>
  </si>
  <si>
    <t>LOẠI GIẢM</t>
  </si>
  <si>
    <t xml:space="preserve">ĐÁNH GIÁ TRẠNG THÁI </t>
  </si>
  <si>
    <t>NGÀY GIẢM TS</t>
  </si>
  <si>
    <t>GIÁ THANH LÝ</t>
  </si>
  <si>
    <t>HOÀN CHI PHÍ</t>
  </si>
  <si>
    <t>MH036</t>
  </si>
  <si>
    <t>MÀN HÌNH MÁY TÍNH</t>
  </si>
  <si>
    <t>Bán thanh lý</t>
  </si>
  <si>
    <t>Màn hỏng</t>
  </si>
  <si>
    <t>MH044</t>
  </si>
  <si>
    <t>PC014</t>
  </si>
  <si>
    <t>PC cũ, lâu đời bị yếu</t>
  </si>
  <si>
    <t>1,000,000</t>
  </si>
  <si>
    <t>PC017</t>
  </si>
  <si>
    <t>PC033</t>
  </si>
  <si>
    <t>PC034</t>
  </si>
  <si>
    <t>PC003</t>
  </si>
  <si>
    <t>PC007</t>
  </si>
  <si>
    <t>PC012</t>
  </si>
  <si>
    <t>PC013</t>
  </si>
  <si>
    <t>PC022</t>
  </si>
  <si>
    <t>PC001</t>
  </si>
  <si>
    <t>PC032</t>
  </si>
  <si>
    <t>OC-002</t>
  </si>
  <si>
    <t>Trả file khách</t>
  </si>
  <si>
    <t>Dùng tốt</t>
  </si>
  <si>
    <t>Anh Nguyễn Thành Long trả file khách hàng Minh Ngọc</t>
  </si>
  <si>
    <t>THEO DÕI TÀI SẢN MÁY MÓC THIẾT BỊ</t>
  </si>
  <si>
    <t>Khác</t>
  </si>
  <si>
    <t>Mã NV - Nguyễn Văn A - Sử dụng từ...đến...., bàn giao lại HCNS ngày....</t>
  </si>
  <si>
    <t>MÃ TS</t>
  </si>
  <si>
    <t>HÃNG MUA</t>
  </si>
  <si>
    <t xml:space="preserve">VỊ TRÍ </t>
  </si>
  <si>
    <t>ĐƠN VỊ TÍNH</t>
  </si>
  <si>
    <t>MÃ NHÂN VIÊN
ĐANG SD</t>
  </si>
  <si>
    <t>HỌ TÊN NHÂN VIÊN
ĐANG SD</t>
  </si>
  <si>
    <t xml:space="preserve">BỘ PHẬN 
</t>
  </si>
  <si>
    <t>TRẠNG THÁI NHÂN VIÊN ĐANG SD</t>
  </si>
  <si>
    <t>MÃ BIÊN BẢN BÀN GIAO</t>
  </si>
  <si>
    <t>NGÀY KÝ BBBG</t>
  </si>
  <si>
    <t>NGÀY CẤP THIẾT BỊ</t>
  </si>
  <si>
    <t>TRẠNG THÁI TÀI SẢN</t>
  </si>
  <si>
    <t>MÃ SỐ 
BẢO HÀNH</t>
  </si>
  <si>
    <t>NGƯỜI SỬ DỤNG 1</t>
  </si>
  <si>
    <t>NGƯỜI SỬ DỤNG 2</t>
  </si>
  <si>
    <t>NGƯỜI SỬ DỤNG 3</t>
  </si>
  <si>
    <t>NGƯỜI SỬ DỤNG 4</t>
  </si>
  <si>
    <t>NGƯỜI SỬ DỤNG 5</t>
  </si>
  <si>
    <t>I. SẢN XUẤT VIDEO - VIDEO PRODUTION</t>
  </si>
  <si>
    <t>`</t>
  </si>
  <si>
    <t>PC010</t>
  </si>
  <si>
    <t>- Chip: AMD Ryzen 9 9900X 12-Core Processor
- Ram: 128 GB
- Card màn hình: 18 GB
- Ổ cứng: 5.46 TB</t>
  </si>
  <si>
    <t>Khu vực BP Video</t>
  </si>
  <si>
    <t>Cái</t>
  </si>
  <si>
    <t>VD_02</t>
  </si>
  <si>
    <t>Đang sử dụng</t>
  </si>
  <si>
    <t>Dell</t>
  </si>
  <si>
    <t>Sử dung MH010 và MH040 đến ngày 15/12 bàn giao cho Tuấn - Video</t>
  </si>
  <si>
    <t>CH010</t>
  </si>
  <si>
    <t>PC011</t>
  </si>
  <si>
    <t>- Chip: 12th Gen Intel(R) Core(TM) i9-12900K
- Ram: 32 GB
- Card màn hình: 12 GB
- Ổ cứng: 15,01 TB</t>
  </si>
  <si>
    <t>VD_03</t>
  </si>
  <si>
    <t xml:space="preserve">Asus LCD </t>
  </si>
  <si>
    <t>Sử dung MH011 và MH009 đến ngày 15/12 bàn giao cho Vân Anh - Video</t>
  </si>
  <si>
    <t>BP011</t>
  </si>
  <si>
    <t>- AMD Ryzen 9 9950X 16-Core Processor
- Ram: 128 GB
- Card màn hình: 16 GB
- Ổ cứng: 7,28 TB</t>
  </si>
  <si>
    <t>VD_04</t>
  </si>
  <si>
    <t>PC047 - mới mua ngày. 17/09/2025</t>
  </si>
  <si>
    <t>Asus Pro</t>
  </si>
  <si>
    <t>MH047 - mới mua ngày  17/09/2025</t>
  </si>
  <si>
    <t>MH048 - mới mua ngày 17/09/2025</t>
  </si>
  <si>
    <t>BP009</t>
  </si>
  <si>
    <t>PC009</t>
  </si>
  <si>
    <t>- Chip: 12th Gen Intel(R) Core(TM) i9-12900K
- Ram: 64 GB
- Card màn hình: 12 GB
- Ổ cứng: 20,92 TB</t>
  </si>
  <si>
    <t>VD_05</t>
  </si>
  <si>
    <t>25011- Lê Công Hoàng - từ ngày 8/8/2025 - trả ngày 19/09/2025</t>
  </si>
  <si>
    <t>MH049</t>
  </si>
  <si>
    <t>MH043 - mới mua ngày 17/09/2025</t>
  </si>
  <si>
    <t>BP047</t>
  </si>
  <si>
    <t>KHÁC</t>
  </si>
  <si>
    <t>- Ổ cứng gắn PC 
- HDD
- Dung lượng: 15TB</t>
  </si>
  <si>
    <t>Mua mới ngày 28/01/2026</t>
  </si>
  <si>
    <t>- Ổ cứng gắn PC 
- SSD
- Dung lượng: 2TB</t>
  </si>
  <si>
    <t xml:space="preserve">Ram </t>
  </si>
  <si>
    <t>Mua mới ngày 28/01/2026, không dán mã do ram rất nhỏ và mỏng nếu dán sẽ khó lắp đặt vào máy</t>
  </si>
  <si>
    <t>MH010</t>
  </si>
  <si>
    <t>VD_06</t>
  </si>
  <si>
    <t>LINK</t>
  </si>
  <si>
    <t>Vũ Anh Duy sd tư 08/08/2025 đến ngày 15/12/2025</t>
  </si>
  <si>
    <t>MH040</t>
  </si>
  <si>
    <t>- Chip: AMD Ryzen 9 9950X 16-Core Processor
- Ram: 64 GB
- Card màn hình: 14 GB
- Ổ cứng: 7,28 TB</t>
  </si>
  <si>
    <t>- Chip: AMD Ryzen 9 9950X 16-Core Processor
- Ram: 64 GB
- Card màn hình: 16 GB
- Ổ cứng: 7,28 TB</t>
  </si>
  <si>
    <t>VD_07</t>
  </si>
  <si>
    <t>MH011</t>
  </si>
  <si>
    <t>Asus pro</t>
  </si>
  <si>
    <t>25026	Vũ Hoàng Duy sd tư 08/08/2025 đến ngày 15/12/2025</t>
  </si>
  <si>
    <t>MH009</t>
  </si>
  <si>
    <t>25011- Lê Công Hoàng - từ ngày 8/8/2025 trả ngày 28/09/2025</t>
  </si>
  <si>
    <t>"25026	Vũ Hoàng Duy	Video	Đang làm việc		08/08/2025		Đang sử dụng"</t>
  </si>
  <si>
    <t>II. TRUYỀN THÔNG - MARKETING</t>
  </si>
  <si>
    <t>OC-008</t>
  </si>
  <si>
    <t>ổ cứng rời 2TB</t>
  </si>
  <si>
    <t>Khu vực BP MKT</t>
  </si>
  <si>
    <t>cái</t>
  </si>
  <si>
    <t>MKT_01</t>
  </si>
  <si>
    <t>25002 - Phạm Ngọc Anh - TP MKT quản lý - trả lại HCNS ngày 01/06/2026</t>
  </si>
  <si>
    <t>- Chip: AMD Ryzen 5 3500X 6-Core Processor
- Ram: 16 GB
- Card màn hình: 2 GB
- Ổ cứng: 1,38 TB</t>
  </si>
  <si>
    <t>MH012</t>
  </si>
  <si>
    <t>BP012</t>
  </si>
  <si>
    <t>CH012</t>
  </si>
  <si>
    <t>- Chip: AMD Ryzen 5 3600 6-Core Processor
- Ram: 16 GB
- Card màn hình: 4 GB
- Ổ cứng: 1,14 TB</t>
  </si>
  <si>
    <t>MKT_02</t>
  </si>
  <si>
    <t>MH013</t>
  </si>
  <si>
    <t>BP013</t>
  </si>
  <si>
    <t>CH013</t>
  </si>
  <si>
    <t>LT001</t>
  </si>
  <si>
    <t>- Chip: 12th Gen Intel(R) Core(TM) i5-1235U
- Ram: 16 GB
- Card màn hình: 128 MB
- Ổ cứng: 477 GB</t>
  </si>
  <si>
    <t>MKT_03</t>
  </si>
  <si>
    <t>Nguyễn Hồng Nhung sd từ ngày 08/08/2026 đến ngày 01/06/2026 bàn giao lại HCNS 01/06/2026</t>
  </si>
  <si>
    <t>CH007</t>
  </si>
  <si>
    <t>III. SÁNG TẠO - CREATIVE</t>
  </si>
  <si>
    <t>LT003</t>
  </si>
  <si>
    <t>- Chip: Intel(R) Core(TM) i7-1065G7 CPU @ 1.30GHz
- Ram: 32 GB
- Card màn hình: 128 MB
- Ổ cứng: 954 GB
- Màu sắc: bạc</t>
  </si>
  <si>
    <t>Phòng Creative</t>
  </si>
  <si>
    <t>CR_01</t>
  </si>
  <si>
    <t xml:space="preserve">  </t>
  </si>
  <si>
    <t>Hoàng quản lý và máy dùng cho 2 bạn concept artist dùng khi đi công tác</t>
  </si>
  <si>
    <t>- Chip: Snapdragon(R) X 12- Core X1E80100 @ 3.40 GHz
- Ram: 32 GB
- Card màn hình: 128 MB
- Ổ cứng: 954 GB
- Màu sắc: bạc</t>
  </si>
  <si>
    <t>Mua mới ngày 10/06/2026 cấp cho Mạnh Hoàng</t>
  </si>
  <si>
    <t>Mạnh Hoàng - TP Creative</t>
  </si>
  <si>
    <t>Khu vực BP Creative</t>
  </si>
  <si>
    <t>1TB</t>
  </si>
  <si>
    <t>MH015</t>
  </si>
  <si>
    <t>CR_02</t>
  </si>
  <si>
    <t>- Màu sắc: bạc
- Cấu hình: M5-16gb-512GB ssd</t>
  </si>
  <si>
    <t xml:space="preserve">Mua mới ngày 20/07/2026 cấp cho Đức Hoàng </t>
  </si>
  <si>
    <t>SSD Kingston</t>
  </si>
  <si>
    <t>- 1TB
- Ổ cứng rời</t>
  </si>
  <si>
    <t xml:space="preserve">Mua mới ngày 26/01/2026 cấp cho Đức Hoàng </t>
  </si>
  <si>
    <t>PC015</t>
  </si>
  <si>
    <t xml:space="preserve">- Chip: Intel(R) Core(TM) i5-10400 CPU @ 2.90GHz
- Ram: 16 GB
- Card màn hình: 128 MB
- Ổ cứng: 1.13 TB  </t>
  </si>
  <si>
    <t>CR_03</t>
  </si>
  <si>
    <t>Đặng Đức Hoàng	Creative sd từ ngày 08/08/2025 đến ngày 24/06/2026 bàn giao lại cho HCNS</t>
  </si>
  <si>
    <t>MH045</t>
  </si>
  <si>
    <t>PC036</t>
  </si>
  <si>
    <t>- Chip: Intel(R) Core(TM) i7-10700 CPU@ 2.90GHz
- Ram: 16 GB
- Card màn hình: 128 MB
- Ổ cứng: 1.14 TB</t>
  </si>
  <si>
    <t>CR_04</t>
  </si>
  <si>
    <t>Nguyễn Chí Hiếu Creative sd từ ngày 14/07/2026 đến ngày 31/07/2026 bàn giao lại cho HCNS</t>
  </si>
  <si>
    <t>Lê Đức Minh - Creative đang sử dụng 03/08/2026</t>
  </si>
  <si>
    <t>CH016</t>
  </si>
  <si>
    <t>- Chip: Intel(R) Core(TM) i7-10700 CPU @ 2.90GHz
- Ram: 16 GB
- Card màn hình: 128 MB
- Ổ cứng: 2.26 TB</t>
  </si>
  <si>
    <t>CR_05</t>
  </si>
  <si>
    <t>MH017</t>
  </si>
  <si>
    <t>BP016</t>
  </si>
  <si>
    <t>CH064</t>
  </si>
  <si>
    <t>LT002</t>
  </si>
  <si>
    <t>- Chip: Intel(R) Core(TM) i7-1065G7 CPU @ 1.30GHZ
- Ram: 16 GB
- Card màn hình: 128 MB
- Ổ cứng: 954 GB
- Màu: bạc</t>
  </si>
  <si>
    <t>CR_06</t>
  </si>
  <si>
    <t xml:space="preserve">Sếp Yến </t>
  </si>
  <si>
    <t>Mr. Hưng - TP Creative</t>
  </si>
  <si>
    <t>20003 -Nguyễn Mạnh Hoàng - TP creative dùng - trả lại HCNS ngày 22/06/2026</t>
  </si>
  <si>
    <t xml:space="preserve">Sạc Surface </t>
  </si>
  <si>
    <t>IV. SỰ KIỆN - EVENT</t>
  </si>
  <si>
    <t>PC021</t>
  </si>
  <si>
    <t>- Chip: Intel(R) Core(TM) i7-8700 CPU @ 3.20GHz
- Ram: 16 GB
- Card màn hình: 3 GB
- Ổ cứng: 1.14 TB</t>
  </si>
  <si>
    <t>Khu vực BP Event</t>
  </si>
  <si>
    <t>EV_01</t>
  </si>
  <si>
    <t>MH021</t>
  </si>
  <si>
    <t>LT005</t>
  </si>
  <si>
    <t>Máy tính Dell</t>
  </si>
  <si>
    <t xml:space="preserve">- Ram 
- Card màn hình
- Màu sắc: </t>
  </si>
  <si>
    <t>Cường quản lý và máy dùng chung cho phòng Event đi công tác</t>
  </si>
  <si>
    <t>- Chip: Intel(R) Core(TM) i5-14600KF
- Ram: 32 GB
- Card màn hình: 12 GB
- Ổ cứng: 954 GB</t>
  </si>
  <si>
    <t>EV_02</t>
  </si>
  <si>
    <t>PC050 - mới mua ngày 1/10/2025</t>
  </si>
  <si>
    <t>MH050 - mới mua ngày  1/10/2025</t>
  </si>
  <si>
    <t>PC019</t>
  </si>
  <si>
    <t>- Chip: 13th Gen Intel(R) Core(TM) i5-13400F
- Ram: 16 GB
- Card màn hình: 8 GB
- 466 GB</t>
  </si>
  <si>
    <t>EV_03</t>
  </si>
  <si>
    <t>MH019</t>
  </si>
  <si>
    <t>PC020</t>
  </si>
  <si>
    <t>-Chip: Intel(R) Core(TM) i3-10105F CPU @ 3.70GHz
- Ram: 16 GB
- Card màn hình: 4 GB
- Ổ cứng: 1.48 TB</t>
  </si>
  <si>
    <t>EV_04</t>
  </si>
  <si>
    <t>MH020</t>
  </si>
  <si>
    <t>CH020</t>
  </si>
  <si>
    <t>PC046</t>
  </si>
  <si>
    <t>- Chip: AMD Ryzen 5 3500X 6-Core Processor
- Ram: 16 GB
- Card màn hình: 984 MB
- Ổ cứng: 1.14 TB</t>
  </si>
  <si>
    <t>EV_05</t>
  </si>
  <si>
    <t>MH046</t>
  </si>
  <si>
    <t>BP046</t>
  </si>
  <si>
    <t>CH046</t>
  </si>
  <si>
    <t>PC035</t>
  </si>
  <si>
    <t>- Chip: 13th Gen Intel(R) Core(TM) i5-13400F
- Ram: 16 GB
- Card màn hình: 12 GB
- Ổ cứng: 466 GB</t>
  </si>
  <si>
    <t>EV_06</t>
  </si>
  <si>
    <t>MH035</t>
  </si>
  <si>
    <t>BP035</t>
  </si>
  <si>
    <t>CH014</t>
  </si>
  <si>
    <t>V. THIẾT KẾ - DESIGN</t>
  </si>
  <si>
    <t>PC023</t>
  </si>
  <si>
    <t>- Chip: AMD Ryzen 9 5900X 12-Core Processor
- Ram: 64 GB
- Card màn hình: 16 GB
- Ổ cứng: 3.66 TB</t>
  </si>
  <si>
    <t>Khu vực BP Thiết kế</t>
  </si>
  <si>
    <t>TK_01</t>
  </si>
  <si>
    <t>MH038</t>
  </si>
  <si>
    <t>PC025</t>
  </si>
  <si>
    <t>- Chip: 12th Gen Intel(R) Core(TM) i5-12400
- Ram: 32 GB
- Card màn hình: 4 GB
- Ổ cứng: 3.87 TB</t>
  </si>
  <si>
    <t>TK_02</t>
  </si>
  <si>
    <t>MH025</t>
  </si>
  <si>
    <t>CH025</t>
  </si>
  <si>
    <t>PC024</t>
  </si>
  <si>
    <t>- Chip: AMD Ryzen 9 5900X 12-Core Processor
- Ram: 64 GB
- Card màn hình: 16 GB
- Ổ cứng: 2.75 TB</t>
  </si>
  <si>
    <t>TK_03</t>
  </si>
  <si>
    <t>MH024</t>
  </si>
  <si>
    <t xml:space="preserve">- Màn Hình Dell : U2424H
- Màn hình: 24inch
Độ phân giải: FHD 1920x1080, 120Hz </t>
  </si>
  <si>
    <t>PC026</t>
  </si>
  <si>
    <t>- Chip: Intel(R) Core(TM) i9-9900K CPU @ 3.60GHz
- Ram: 32 GB
- Card màn hình: 6 GB
- Ổ cứng: 4.09 TB</t>
  </si>
  <si>
    <t>TK_04</t>
  </si>
  <si>
    <t>MH026</t>
  </si>
  <si>
    <t>CH026</t>
  </si>
  <si>
    <t>PC027</t>
  </si>
  <si>
    <t>- Chip: AMD Ryzen 9 5900X 12-Core Processor
- Ram: 32 GB
- Card màn hình: 6 GB
- Ổ cứng: 2.27 TB</t>
  </si>
  <si>
    <t>TK_05</t>
  </si>
  <si>
    <t>Lương Văn Tuấn	Design	sd từ ngày 08/08/2025 đến ngày 27/02/2026 bàn giao HCNS 27/02/2026</t>
  </si>
  <si>
    <t>MH027</t>
  </si>
  <si>
    <t>"- Màn Hình Dell : U2424H
- Màn hình: 24inch
Độ phân giải: FHD 1920x1080, 120Hz "</t>
  </si>
  <si>
    <t>CH027</t>
  </si>
  <si>
    <t>PC028</t>
  </si>
  <si>
    <t>- Chip: AMD Ryzen 9 5900X 12-Core Processor
- Ram: 32 GB
- Card màn hình: 12 GB
- Ổ cứng: 4.09 TB</t>
  </si>
  <si>
    <t>TK_06</t>
  </si>
  <si>
    <t>MH028</t>
  </si>
  <si>
    <t>CH028</t>
  </si>
  <si>
    <t>PC029</t>
  </si>
  <si>
    <t>- Chip: Intel(R) Core(TM) i7-10700 CPU @ 2.90GHz
- Ram: 32 GB
- Card màn hình: 6 GB
- Ổ cứng: 2.05 TB</t>
  </si>
  <si>
    <t>TK_07</t>
  </si>
  <si>
    <t>MH029</t>
  </si>
  <si>
    <t>CH029</t>
  </si>
  <si>
    <t>PC030</t>
  </si>
  <si>
    <t>- Chip: Intel(R) Core(TM) i7-7700 CPU @ 3.60GHz
- Ram: 16 GB
- Card màn hình: 6 GB
- Ổ cứng: 1.14 TB</t>
  </si>
  <si>
    <t>TK_08</t>
  </si>
  <si>
    <t>MH030</t>
  </si>
  <si>
    <t>CH030</t>
  </si>
  <si>
    <t>BP030</t>
  </si>
  <si>
    <t>Mua mới ngày 27/8/2026</t>
  </si>
  <si>
    <t>- Chip: AMD Ryzen 9 9950X 16-Core Processor
- Ram: 32 GB
- Card màn hình: 16 GB
- Ổ cứng: 2.73 TB</t>
  </si>
  <si>
    <t>1530844_Phiếu xuất kho, bảo hành PC - Duy Hưng P.pdf</t>
  </si>
  <si>
    <t>Trần Duy Nam</t>
  </si>
  <si>
    <t>Nguyễn Duy Hưng	Design	sd từ ngày 15/06/2026 đến ngày 30/07/2026 bàn giao HCNS 30/07/2026</t>
  </si>
  <si>
    <t>VI. TÀI CHÍNH KẾ TOÁN</t>
  </si>
  <si>
    <t>PC006</t>
  </si>
  <si>
    <t>- Chip: 13th Gen Intel(R) Core(TM) i5-13500
- Ram: 32 GB
- Card màn hình: 128 MB
- Ổ cứng: 2.27 TB</t>
  </si>
  <si>
    <t>Phòng kế toán</t>
  </si>
  <si>
    <t>KT_01</t>
  </si>
  <si>
    <t>MH006</t>
  </si>
  <si>
    <t>BP006</t>
  </si>
  <si>
    <t>CH006</t>
  </si>
  <si>
    <t>PC005</t>
  </si>
  <si>
    <t>- Chip: Intel(R) Core(TM) i7-8700 CPU @ 3.20GHz
- Ram: 16 GB
- Card màn hình: 128 MB
- Ổ cứng: 1.14TB</t>
  </si>
  <si>
    <t>KT_02</t>
  </si>
  <si>
    <t>MH005</t>
  </si>
  <si>
    <t>BP010</t>
  </si>
  <si>
    <t>CH005</t>
  </si>
  <si>
    <t>PC002</t>
  </si>
  <si>
    <t>- Chip: Intel(R) Core(TM) i3-6100 CPU @ 3.70GHz
- Ram: 16 GB
- Card màn hình: 
- Ổ cứng:</t>
  </si>
  <si>
    <t>KT_03</t>
  </si>
  <si>
    <t>MH002</t>
  </si>
  <si>
    <t>Bùi Thị Quý Thương sử dụng từ 16/06/2025 đến ngày 04/09/2025, bàn giao HCNS 04/09/2025</t>
  </si>
  <si>
    <t>25031	Nguyễn Thị Quỳnh Nga	 04/09/2025 đến 22/10/2025 bàn giao HCNS 22/10/2025</t>
  </si>
  <si>
    <t>25035	Trần Ánh Diệp		27/10/2025 đến 17/11/2025 bàn giao HCNS 17/11/2025</t>
  </si>
  <si>
    <t>BP002</t>
  </si>
  <si>
    <t>CH002</t>
  </si>
  <si>
    <t>SSD Kingston 1TB</t>
  </si>
  <si>
    <t>Mua mới cấp cho Thu Hoài kếtoán ngày 28/01/2026, ổ cứng cắm vào PC</t>
  </si>
  <si>
    <t>- Chip: Intel(R) Core(TM) i7-3770 CPU @ 3.40GHz
- Ram: 32 GB
- Card màn hình: 224 MB
- Ổ cứng: 701 GB</t>
  </si>
  <si>
    <t>KT_04</t>
  </si>
  <si>
    <t>MH003</t>
  </si>
  <si>
    <t>BP003</t>
  </si>
  <si>
    <t>CH003</t>
  </si>
  <si>
    <t>PC004</t>
  </si>
  <si>
    <t>- Chip: 12th Gen Intel(R) Core(TM) i5-12400
- Ram: 32 GB
- Card màn hình: 128 MB
- Ổ cứng: 1.38 TB</t>
  </si>
  <si>
    <t>KT_05</t>
  </si>
  <si>
    <t>MH004</t>
  </si>
  <si>
    <t>BP004</t>
  </si>
  <si>
    <t>CH004</t>
  </si>
  <si>
    <t>MH014</t>
  </si>
  <si>
    <t>Kho</t>
  </si>
  <si>
    <t>Bạch Thị Lệ Hằng sd từ ngày 23/06/2025  Bàn giao HCNS - Lưu kho IT 16/7/2026</t>
  </si>
  <si>
    <t>BP020</t>
  </si>
  <si>
    <t>- Chip: AMD Ryzen 5 5500GT with Radeon Graphics
- Ram: 32 GB
- Card màn hình: 4 GB
- Ổ cứng: 1.38 TB</t>
  </si>
  <si>
    <t>CH021</t>
  </si>
  <si>
    <t>VII. HÀNH CHÍNH NHÂN SỰ</t>
  </si>
  <si>
    <t>MH022</t>
  </si>
  <si>
    <t>MAC</t>
  </si>
  <si>
    <t>Phòng HCNS</t>
  </si>
  <si>
    <t>HC_01</t>
  </si>
  <si>
    <t>Lê Văn Kha	Event		08/08/2025 đến 20/01/2026 bàn giao HCNS 20/01/2026</t>
  </si>
  <si>
    <t>Nguyễn Tài Đại 15/04/2026 đến 14/7/2026. Bàn giao Bạch Thị Lệ Hằng 16/7/2026</t>
  </si>
  <si>
    <t>HC_02</t>
  </si>
  <si>
    <t>MH001</t>
  </si>
  <si>
    <t>BP001</t>
  </si>
  <si>
    <t>PC018</t>
  </si>
  <si>
    <t>- Chip: AMD Ryzen 5 2600X
- Ram: 24GB
- Card màn hình:  985MB
- Ổ cứng: 1.02 TB</t>
  </si>
  <si>
    <t>HC_04</t>
  </si>
  <si>
    <t>22001	Bùi Xuân Dân	Event 08/08/2025 đến 01/10/2025, bàn giao HCNS 01/10/2025</t>
  </si>
  <si>
    <t>Tô Thị Thoa sd từ 10/11/2025 đến 20/04/2026 bàn giao lại cho HCNS 20/04/2026</t>
  </si>
  <si>
    <t xml:space="preserve">26020	Đào Duy Tùng	Hành chính nhân sự - HR &amp; Admin	</t>
  </si>
  <si>
    <t>MH018</t>
  </si>
  <si>
    <t>BP031</t>
  </si>
  <si>
    <t xml:space="preserve">Nguyễn Ngọc Huyền HCLT dùng từ 15/6 đến 30/07 bàn giao lại </t>
  </si>
  <si>
    <t>MH032</t>
  </si>
  <si>
    <t>BP032</t>
  </si>
  <si>
    <t>Nguyễn Mai Hương - sd từ 21/04/2026 đến 15/06/2026, bàn giao HCNS ngày 15/06/2026</t>
  </si>
  <si>
    <t>Chuột mới</t>
  </si>
  <si>
    <t>VII. DỰ ÁN - PROJECT</t>
  </si>
  <si>
    <t xml:space="preserve">- Chip:  AMD Ryzen 9 5900X
- Ram : 32G
- Card màn hình: 12GB
- Ổ cứng: 2,73TB
</t>
  </si>
  <si>
    <t>Tầng 02</t>
  </si>
  <si>
    <t>DA_01</t>
  </si>
  <si>
    <t>25029	Đinh Ngọc Thành	Design	sd từ 18/08/2025 đến 24/10/2025 bàn giao HCNS 24/10/2025</t>
  </si>
  <si>
    <t>IX. KINH DOANH</t>
  </si>
  <si>
    <t>MH037</t>
  </si>
  <si>
    <t>KD_01</t>
  </si>
  <si>
    <t>IX. KHÁC</t>
  </si>
  <si>
    <t>CH022</t>
  </si>
  <si>
    <t>Tồn kho</t>
  </si>
  <si>
    <t>Nguyễn Tài Đại sd từ ngày 14/04/2026 bàn giao HCNS từ 16/07/2026</t>
  </si>
  <si>
    <t>CH032</t>
  </si>
  <si>
    <t>Chuột hỏng con lăn</t>
  </si>
  <si>
    <t>Phạm Phương Nhung - sd từ 08/08/2025 đến 31/03/2026, bàn giao HCNS ngày 31/03/2026</t>
  </si>
  <si>
    <t>Bàn phím mới</t>
  </si>
  <si>
    <t>BP018</t>
  </si>
  <si>
    <t>Bùi Xuân Dân sd từ 08/08/2026 bàn giao HCNS  ngày 15/10/2026</t>
  </si>
  <si>
    <t>BP021</t>
  </si>
  <si>
    <t>OC-004</t>
  </si>
  <si>
    <t>Đã chết ổ cứng</t>
  </si>
  <si>
    <t>15001- Lê Văn Kha - TP event- bàn giao lại HCNS từ ngày 20/01/2026</t>
  </si>
  <si>
    <t>OC-005</t>
  </si>
  <si>
    <t>OC-006</t>
  </si>
  <si>
    <t>Máy mới chờ cấp hoài ktoan</t>
  </si>
  <si>
    <t>PC016</t>
  </si>
  <si>
    <t>Tô Hồng Đức sử dụng từ 05/01/2026 đến hết ngày 01/07/2026, bàn giao HCNS ngày 02/07/2026</t>
  </si>
  <si>
    <t>MH041</t>
  </si>
  <si>
    <t>Đào Thu Hà- Sử dụng từ 8/8/2025 đến hết ngày 20/07/2026, bàn giao HCNS ngày 20/07/2026</t>
  </si>
  <si>
    <t>MH016</t>
  </si>
  <si>
    <t>LT006</t>
  </si>
  <si>
    <t>Máy tính Surface laptop</t>
  </si>
  <si>
    <t>- Ram 
- Card màn hình
- Màu sắc: hồng</t>
  </si>
  <si>
    <t>22/06/2026 Giang có báo hỏng không bật lên nguồn, tuy nhiên sau đó lại mở dùng đc</t>
  </si>
  <si>
    <t xml:space="preserve">Trợ lý sếp Yến </t>
  </si>
  <si>
    <t>Nguyễn Thu Giang dùng - trả lại HCNS ngày 01/07/2026</t>
  </si>
  <si>
    <t>PC008</t>
  </si>
  <si>
    <t>5T dung lượng ổ cứng, 30T ổ cứng cắm vào,3 ổ cứng di động ( 2T/cái)</t>
  </si>
  <si>
    <t>Nguyễn Thành Long sd từ 15/09/2022 đến ngày 21/07/2026</t>
  </si>
  <si>
    <t>MH008</t>
  </si>
  <si>
    <t>BP008</t>
  </si>
  <si>
    <t>OC-001</t>
  </si>
  <si>
    <t>2TB</t>
  </si>
  <si>
    <t>OC-003</t>
  </si>
  <si>
    <t>Bộ thiết bị gồm: mắt cam và chân cam</t>
  </si>
  <si>
    <t>Nguyễn Thành Long sử dụng từ 01/07/2026 đến hết ngày 29/7/2026, bàn giao HCNS ngày  29/7/2026</t>
  </si>
  <si>
    <t>- Chip: AMD Ryzen 5 2600 Six-Core Processor
- Ram: 16 GB
- Card màn hình: 3 GB
- Ổ cứng: 112 GB</t>
  </si>
  <si>
    <t>Nguyễn Thị Thùy Linh - Sử dụng từ  10/06/2026 đến hết ngày 10/8/2026, bàn giao HCNS ngày  10/8/2026</t>
  </si>
  <si>
    <t>MH007</t>
  </si>
  <si>
    <t>Quách Phương Thảo - Sử dụng từ 8/8/2025 đến hết ngày 29/05/2026, bàn giao HCNS ngày 29/05/2026</t>
  </si>
  <si>
    <t>MH034</t>
  </si>
  <si>
    <t>KT_06</t>
  </si>
  <si>
    <t xml:space="preserve">ổng </t>
  </si>
  <si>
    <t>TỔNG QUAN TÀI SẢN</t>
  </si>
  <si>
    <t>MÃ NHÂN VIÊN
SD GẦN NHẤT</t>
  </si>
  <si>
    <t>HỌ TÊN NHÂN VIÊN
SD GẦN NHẤT</t>
  </si>
  <si>
    <t>NGÀY CẤP</t>
  </si>
  <si>
    <t xml:space="preserve">NGÀY HOÀN TRẢ </t>
  </si>
  <si>
    <t>1. LAPTOP</t>
  </si>
  <si>
    <t>Lenovo</t>
  </si>
  <si>
    <t>- Ram:
- Card màn hình:
- Ổ cứng:
- Màu sắc:</t>
  </si>
  <si>
    <t>Phòng MKT</t>
  </si>
  <si>
    <t>Máy tính Surface pro 7</t>
  </si>
  <si>
    <t>- Ram 
- Card màn hình
- Màu sắc: bạc</t>
  </si>
  <si>
    <t>26005-Trần Thị Thanh Thùy-Creative- trả lại 08/07/2026</t>
  </si>
  <si>
    <t>Máy tính Surface book 3</t>
  </si>
  <si>
    <t>Máy tính surface 11 pro</t>
  </si>
  <si>
    <t>T06_2026_1517945</t>
  </si>
  <si>
    <t>Phòng Event</t>
  </si>
  <si>
    <t>25042-Nguyễn Thị Thu Giang-Creative- trả lại HCNS 08/07/2026</t>
  </si>
  <si>
    <t>Laptop Macbook Air M5</t>
  </si>
  <si>
    <t>- Màu sắc: bạc</t>
  </si>
  <si>
    <t xml:space="preserve">Mua mới ngày 17/07/2026 cấp cho Đức Hoàng </t>
  </si>
  <si>
    <t>2. Ổ CỨNG</t>
  </si>
  <si>
    <t>- Ổ cứng rời
- HDD/SSD
- Dung lượng: 2TB</t>
  </si>
  <si>
    <t>Video</t>
  </si>
  <si>
    <t>- Ổ cứng rời
- HDD
- Dung lượng: 2TB</t>
  </si>
  <si>
    <t>- 1TB
- Ổ cứng gắn máy</t>
  </si>
  <si>
    <t>Nguyễn Mạnh Hoàng</t>
  </si>
  <si>
    <t>Creative</t>
  </si>
  <si>
    <t>- 2TB
- Ổ cứng rời</t>
  </si>
  <si>
    <t>MKT</t>
  </si>
  <si>
    <t>Mua mới cấp cho Đức Hoàng ngày 15/01/2026, ổ cứng rời</t>
  </si>
  <si>
    <t>TCKT</t>
  </si>
  <si>
    <t>OC -011</t>
  </si>
  <si>
    <t>Mua mới cấp cho Thắng Video ngày 28/01/2026, ổ cứng cắm vào PC</t>
  </si>
  <si>
    <t>3. PC</t>
  </si>
  <si>
    <t>Nguyễn Chí Hiếu sd từ ngày 14/07/2026 đến ngày 03/08/2026 bàn giao lại HCNS 01/06/2026</t>
  </si>
  <si>
    <t>T06_2026_1530844</t>
  </si>
  <si>
    <t>Máy mới</t>
  </si>
  <si>
    <t>5.MÀN HÌNH MÁY TÍNH</t>
  </si>
  <si>
    <t>Phòng Kế toán</t>
  </si>
  <si>
    <t>Phòng thiết kế</t>
  </si>
  <si>
    <t>5. BÀN PHÍM</t>
  </si>
  <si>
    <t>T06_2026_1539304</t>
  </si>
  <si>
    <t>6. CHUỘT</t>
  </si>
  <si>
    <t>Nguyễn Tài Đại 14/7. 16/7 Bàn giao Bạch Thị Lệ Hằng</t>
  </si>
  <si>
    <t>CH047</t>
  </si>
  <si>
    <t>hỏng con lăn</t>
  </si>
  <si>
    <t>7. khác</t>
  </si>
  <si>
    <t>TV001</t>
  </si>
  <si>
    <t>Bàn giao HCNS - Lưu kho IT 16/7/2026</t>
  </si>
  <si>
    <t>ko dán mã</t>
  </si>
  <si>
    <t>Nguyễn Thị Thu Giang</t>
  </si>
  <si>
    <t>OC - 012</t>
  </si>
  <si>
    <t>SSD 2TB</t>
  </si>
  <si>
    <t>TS CỐ ĐỊNH</t>
  </si>
  <si>
    <t>TS MÁY MÓC THIẾT BỊ</t>
  </si>
  <si>
    <t>Loại tài sản</t>
  </si>
  <si>
    <t>Ban giám đốc - BOD</t>
  </si>
  <si>
    <t>Bàn làm việc nhân viên</t>
  </si>
  <si>
    <t>TS cố định</t>
  </si>
  <si>
    <t>Nội thất văn phòng</t>
  </si>
  <si>
    <t>Kinh doanh - Account</t>
  </si>
  <si>
    <t>Hỏng vứt</t>
  </si>
  <si>
    <t xml:space="preserve">Bàn trưởng phòng </t>
  </si>
  <si>
    <t>Bàn TGĐ</t>
  </si>
  <si>
    <t>Hỏng/ thanh lý</t>
  </si>
  <si>
    <t>Bàn họp dài</t>
  </si>
  <si>
    <t>Sáng tạo - Creative</t>
  </si>
  <si>
    <t xml:space="preserve">Bàn họp lớn </t>
  </si>
  <si>
    <t>Truyền thông - Marketing</t>
  </si>
  <si>
    <t xml:space="preserve">Bàn họp nhỏ </t>
  </si>
  <si>
    <t xml:space="preserve">Phòng video </t>
  </si>
  <si>
    <t>Bàn cafe</t>
  </si>
  <si>
    <t>Phòng kinh doanh</t>
  </si>
  <si>
    <t>Bàn ăn dài</t>
  </si>
  <si>
    <t xml:space="preserve">Bàn ăn ngắn </t>
  </si>
  <si>
    <t>Phòng dự án</t>
  </si>
  <si>
    <t>Xưởng - Production</t>
  </si>
  <si>
    <t xml:space="preserve">Bàn đảo </t>
  </si>
  <si>
    <t>Phòng sáng tạo - Next</t>
  </si>
  <si>
    <t>Bàn gỗ trắng tròn</t>
  </si>
  <si>
    <t>Bàn kính trắng tròn</t>
  </si>
  <si>
    <t>Ghế nhân viên trắng</t>
  </si>
  <si>
    <t>Ghế TP trắng</t>
  </si>
  <si>
    <t>Ghế TP đen</t>
  </si>
  <si>
    <t xml:space="preserve">Ghế bàn bar màu đỏ </t>
  </si>
  <si>
    <t xml:space="preserve">Ghế bàn bar màu đen </t>
  </si>
  <si>
    <t>Ghế bàn họp T3</t>
  </si>
  <si>
    <t>Ghế bàn ăn đen</t>
  </si>
  <si>
    <t>Ghế bàn ăn đỏ</t>
  </si>
  <si>
    <t>Ghế gấp nhựa</t>
  </si>
  <si>
    <t xml:space="preserve">Ghế vòm cong </t>
  </si>
  <si>
    <t xml:space="preserve">Ghế bar sắt </t>
  </si>
  <si>
    <t xml:space="preserve">Ghế tựa phòng họp </t>
  </si>
  <si>
    <t>Ghế TGĐ</t>
  </si>
  <si>
    <t>Ghế xoay màu đen</t>
  </si>
  <si>
    <t>Ghế ăn tiếp khách</t>
  </si>
  <si>
    <t>📄DANH MỤC TÀI SẢN MÁY MÓC THIẾT BỊ</t>
  </si>
  <si>
    <t>Đang làm việc</t>
  </si>
  <si>
    <t>Khu vực lễ tân</t>
  </si>
  <si>
    <t>HCNS</t>
  </si>
  <si>
    <t>Bùi Thị Quý Thương</t>
  </si>
  <si>
    <t>Nguyễn Thu Hà</t>
  </si>
  <si>
    <t>Nguyễn Phương Anh</t>
  </si>
  <si>
    <t>Nguyễn Thị Hồng</t>
  </si>
  <si>
    <t>Quách Phương Thảo</t>
  </si>
  <si>
    <t>Vũ Anh Duy</t>
  </si>
  <si>
    <t>Vũ Hoàng Duy</t>
  </si>
  <si>
    <t xml:space="preserve">Chỗ ngồi Phương Ngọc MKT </t>
  </si>
  <si>
    <t>Nguyễn Chí Hiếu</t>
  </si>
  <si>
    <t xml:space="preserve">Chỗ ngồi Nguỵ Vân Anh MKT </t>
  </si>
  <si>
    <t>Event</t>
  </si>
  <si>
    <t>Hoàng Hà Giang</t>
  </si>
  <si>
    <t>Phạm Thị Ánh Tuệ</t>
  </si>
  <si>
    <t>Lê Lâm Cường</t>
  </si>
  <si>
    <t>Lê Văn Kha</t>
  </si>
  <si>
    <t>Design</t>
  </si>
  <si>
    <t>Nguyễn  Việt Thắng</t>
  </si>
  <si>
    <t>Nguyễn Phương Mai</t>
  </si>
  <si>
    <t>Lương Văn Tuấn</t>
  </si>
  <si>
    <t>Vũ Thị Mai Linh</t>
  </si>
  <si>
    <t>Nguyễn Thị Thuỷ Tiên</t>
  </si>
  <si>
    <t>Khu vực BP Kinh doanh</t>
  </si>
  <si>
    <t>Phạm Phương Nhung</t>
  </si>
  <si>
    <t>Trợ lý</t>
  </si>
  <si>
    <t>PC037</t>
  </si>
  <si>
    <t>PC038</t>
  </si>
  <si>
    <t>PC039</t>
  </si>
  <si>
    <t>PC040</t>
  </si>
  <si>
    <t>PC041</t>
  </si>
  <si>
    <t>PC042</t>
  </si>
  <si>
    <t>PC043</t>
  </si>
  <si>
    <t>PC044</t>
  </si>
  <si>
    <t>PC045</t>
  </si>
  <si>
    <t>PC048</t>
  </si>
  <si>
    <t>PC049</t>
  </si>
  <si>
    <t>Dell 21.45inch</t>
  </si>
  <si>
    <t>Dell 24inch</t>
  </si>
  <si>
    <t>Dell 24 inch</t>
  </si>
  <si>
    <t>Dell 22 inch</t>
  </si>
  <si>
    <t>Dell 23.6 inch</t>
  </si>
  <si>
    <t>08/085/2025</t>
  </si>
  <si>
    <t>Bạch Thị Lệ Hằng</t>
  </si>
  <si>
    <t>MH023</t>
  </si>
  <si>
    <t>MH033</t>
  </si>
  <si>
    <t>MH039</t>
  </si>
  <si>
    <t xml:space="preserve">Vũ Anh Duy </t>
  </si>
  <si>
    <t>Đào Thu Hà</t>
  </si>
  <si>
    <t>Fuhlen</t>
  </si>
  <si>
    <t>L411</t>
  </si>
  <si>
    <t>BP005</t>
  </si>
  <si>
    <t>Shiba</t>
  </si>
  <si>
    <t>Shiba21K000725</t>
  </si>
  <si>
    <t>BP007</t>
  </si>
  <si>
    <t>BP014</t>
  </si>
  <si>
    <t>BP015</t>
  </si>
  <si>
    <t>BP017</t>
  </si>
  <si>
    <t>BP019</t>
  </si>
  <si>
    <t>BP022</t>
  </si>
  <si>
    <t>BP023</t>
  </si>
  <si>
    <t>BP024</t>
  </si>
  <si>
    <t>BP025</t>
  </si>
  <si>
    <t>BP026</t>
  </si>
  <si>
    <t>BP027</t>
  </si>
  <si>
    <t>BP028</t>
  </si>
  <si>
    <t>BP029</t>
  </si>
  <si>
    <t>BP033</t>
  </si>
  <si>
    <t>BP034</t>
  </si>
  <si>
    <t>BP037</t>
  </si>
  <si>
    <t>BP038</t>
  </si>
  <si>
    <t>BP039</t>
  </si>
  <si>
    <t>BP040</t>
  </si>
  <si>
    <t>BP041</t>
  </si>
  <si>
    <t>BP042</t>
  </si>
  <si>
    <t>BP043</t>
  </si>
  <si>
    <t>BP044</t>
  </si>
  <si>
    <t>BP045</t>
  </si>
  <si>
    <t>BP048</t>
  </si>
  <si>
    <t>BP049</t>
  </si>
  <si>
    <t>CH001</t>
  </si>
  <si>
    <t xml:space="preserve">Không hiển thị </t>
  </si>
  <si>
    <t>Logitech</t>
  </si>
  <si>
    <t>G102</t>
  </si>
  <si>
    <t>A09B</t>
  </si>
  <si>
    <t>CH008</t>
  </si>
  <si>
    <t>CH009</t>
  </si>
  <si>
    <t>CH011</t>
  </si>
  <si>
    <t>CH015</t>
  </si>
  <si>
    <t>CH017</t>
  </si>
  <si>
    <t>CH018</t>
  </si>
  <si>
    <t>CH019</t>
  </si>
  <si>
    <t>CH023</t>
  </si>
  <si>
    <t>CH024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</si>
  <si>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</si>
  <si>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</si>
  <si>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</si>
  <si>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</si>
  <si>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</si>
  <si>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</si>
  <si>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</si>
  <si>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</si>
  <si>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</si>
  <si>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</si>
  <si>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</si>
  <si>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</si>
  <si>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</si>
  <si>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CH048</t>
  </si>
  <si>
    <t>CH049</t>
  </si>
  <si>
    <t>CH050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</si>
  <si>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</si>
  <si>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</si>
  <si>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</si>
  <si>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</si>
  <si>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</si>
  <si>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</si>
  <si>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</si>
  <si>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</si>
  <si>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</si>
  <si>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OC001</t>
  </si>
  <si>
    <t>OC002</t>
  </si>
  <si>
    <t>OC003</t>
  </si>
  <si>
    <t>OC004</t>
  </si>
  <si>
    <t>OC005</t>
  </si>
  <si>
    <t>OC006</t>
  </si>
  <si>
    <t>OC007</t>
  </si>
  <si>
    <t>OC008</t>
  </si>
  <si>
    <t>Stt</t>
  </si>
  <si>
    <t>Mã số</t>
  </si>
  <si>
    <t>Tên hạng mục</t>
  </si>
  <si>
    <t>Chủng loại</t>
  </si>
  <si>
    <t>Ngày mua</t>
  </si>
  <si>
    <t>Hạn bảo hành</t>
  </si>
  <si>
    <t>Người sử dụng hiện tại</t>
  </si>
  <si>
    <t>Bộ phận</t>
  </si>
  <si>
    <t xml:space="preserve">Hiện trạng </t>
  </si>
  <si>
    <t>Ngày sửa lần 1</t>
  </si>
  <si>
    <t>Ngày sửa lần 2</t>
  </si>
  <si>
    <t>Ghi chú</t>
  </si>
  <si>
    <r>
      <rPr>
        <b/>
        <sz val="11"/>
        <color rgb="FF000000"/>
        <rFont val="Aptos Display"/>
        <scheme val="major"/>
      </rPr>
      <t xml:space="preserve">ĐỢT KIỂM TRA: </t>
    </r>
    <r>
      <rPr>
        <b/>
        <sz val="11"/>
        <color rgb="FFFF0000"/>
        <rFont val="Aptos Display"/>
        <scheme val="major"/>
      </rPr>
      <t>11/06/2025</t>
    </r>
  </si>
  <si>
    <t>TK-LT01</t>
  </si>
  <si>
    <t>Laptop phòng thiết kế: Dell M3510, i7,Ram 16GB, SSD500GB, LCD15"</t>
  </si>
  <si>
    <t>Máy móc, thiết bị</t>
  </si>
  <si>
    <t>26/12/2024</t>
  </si>
  <si>
    <t>dùng chung</t>
  </si>
  <si>
    <t>Thiết kế</t>
  </si>
  <si>
    <t>TK-BMT01</t>
  </si>
  <si>
    <t>Bộ máy tính thiết kế Mai sd: Bo mạch P8Z277/Chip i7/Bộ nhớ 2x8GB/Ổ cứng SSD120GB/Card màn hình GTX680, Màn hình 23"/Chuột G300</t>
  </si>
  <si>
    <t>19/10/2019</t>
  </si>
  <si>
    <t>Nguyễn Thủy Tiên</t>
  </si>
  <si>
    <t>TK-BMT01 - NC01</t>
  </si>
  <si>
    <t xml:space="preserve">Thay thế linh kiện máy tính thiết kế cho Mai sử dụng: nâng cấp ổ cứng HDD 2TB (1C) 256GB </t>
  </si>
  <si>
    <t>Linh kiện</t>
  </si>
  <si>
    <t>7/10/2020</t>
  </si>
  <si>
    <t>TK-BMT02</t>
  </si>
  <si>
    <t>Bộ máy tính thiết kế Thắng sử dụng (Chip I7, Bộ nhớ 16GB, Ổ cứng 256GB, 1TB, Nguồn 620W, màn hình 27" Dell, Cạc màn hình GTX1060</t>
  </si>
  <si>
    <t>Bùi Tịnh Tuệ Khanh</t>
  </si>
  <si>
    <t>TK-BMT02 - NC01</t>
  </si>
  <si>
    <t>Thay linh kiện máy tính thiết kế Thắng sử dụng: card màn hình VGA RTX2060 inno3d 6GB</t>
  </si>
  <si>
    <t>15/3/2022</t>
  </si>
  <si>
    <t>TK-BMT03 - NC01</t>
  </si>
  <si>
    <t>Màn hình DELL U2424H 23''</t>
  </si>
  <si>
    <t>15/8/2016</t>
  </si>
  <si>
    <t>kho</t>
  </si>
  <si>
    <t>TK-BMT03</t>
  </si>
  <si>
    <t>Bộ máy tính thiết kế Hùng sử dụng: CPU i9, Main Z390, Ram: 32GB, SSD: 500GB, HDD: 2TB, VGA6G, Monitor: LG25BL55WY,Chuột FuhlenG9</t>
  </si>
  <si>
    <t>1/1/2019</t>
  </si>
  <si>
    <t>TK-BMT04</t>
  </si>
  <si>
    <t xml:space="preserve">Bộ máy tính thiết kế Nghị sử dụng core i7, MSI B460, Bộ nhớ trong Corsai 16G,Nguồn 700W, Vỏ máy Trio, Card RTX2060, </t>
  </si>
  <si>
    <t>7/4/2022</t>
  </si>
  <si>
    <t>26/2/2021</t>
  </si>
  <si>
    <t>TK-BMT05</t>
  </si>
  <si>
    <t>Bộ máy tính thiết kế Mai sử dụng: Core i5/Bảng mạch chính B660/Cạc màn hình ASUS TGX1650/Ram16G/Vỏ case Venom/ổ cứng SSD 980/Nguồn 700W, tản nhiệt AH92/Màn hình Asus 248QV/Ổ cuwnTB/bàn phím chuột</t>
  </si>
  <si>
    <t>19/07/2022</t>
  </si>
  <si>
    <t>TK-BMT06</t>
  </si>
  <si>
    <t>Bộ máy tính thiết kế Hk sử dụngMàn hình Dell 60/2.54 + cây Asus dùng chuyên cho thiết kế + chuột Fuhlen + lót chuột + bàn phím</t>
  </si>
  <si>
    <t>TK-BMT07</t>
  </si>
  <si>
    <t xml:space="preserve">Bộ máy tính thiết kế Hưng sử dụng bao gồm: Màn hình Dell 60/2.54 + cây Asus dùng chuyên cho thiết kế + chuột Fuhlen + lót chuột </t>
  </si>
  <si>
    <t>TK-BMT07 - NC01</t>
  </si>
  <si>
    <t>Thay thế linh kiện máy tính cho máy tính của Nguyễn Văn Hưng phòng thiết kế sử dụng</t>
  </si>
  <si>
    <t>TK-BMT07 - NC02</t>
  </si>
  <si>
    <t>Thay thế màn hình máy tính của Hưng thiết kế: Màn hình Dell U2419H</t>
  </si>
  <si>
    <t>TK-BMT08</t>
  </si>
  <si>
    <t>Cây máy tính Kiều Đình Hoàng sử dụng bao gồm: Vỏ máy tính Xigimatek Gaming X 3FX, bộ VXL AMD Ryzen 9 5900X, tản nhiệt nước Corsair H100, Ổ cứng 2TB Western Blue, bo mạch chủ Asus X570, Nguồn Corsair 16GB 3200, ổ cứng ssd Samsung 980 500GB</t>
  </si>
  <si>
    <t>TK-BMT09</t>
  </si>
  <si>
    <t>Cây máy tính Nguyễn Việt Thắng sử dụng bao gồm: Vỏ máy tính Xigimatek Gaming X 3FX, bộ VXL AMD Ryzen 9 5900X, tản nhiệt nước Corsair H100, Ổ cứng 2TB Western Blue, bo mạch chủ Asus X570, Nguồn Corsair 16GB 3200, ổ cứng ssd Samsung 980 1T</t>
  </si>
  <si>
    <t xml:space="preserve">Lương Văn Tuấn </t>
  </si>
  <si>
    <t>TK-BMT10</t>
  </si>
  <si>
    <t>Case máy tính</t>
  </si>
  <si>
    <t>TK-BMT11</t>
  </si>
  <si>
    <t>TK-BMT11 - NC01</t>
  </si>
  <si>
    <t>ổ cứng gắn trong Destop WD Blue 2TB, 3,5 SATA 3 _WD20EZBX</t>
  </si>
  <si>
    <t>Link kiện</t>
  </si>
  <si>
    <t>MKT-BMT01</t>
  </si>
  <si>
    <t>Bộ máy tính MKT Thiên sử dụng gồm: Core i5/Bảng mạch chính B460M/Bộ nhớ trong 16GB/Nguồn 600W/Vỏ máy tính/Cạc màn hình 1650S 4GB</t>
  </si>
  <si>
    <t>Khánh Vi</t>
  </si>
  <si>
    <t>Phòng Marketing</t>
  </si>
  <si>
    <t>MKT-BMT02</t>
  </si>
  <si>
    <t xml:space="preserve">Bộ máy tính phòng MKT Hà Phương sd gồm: CPU 2600X/Ram 16G/Main B450M/SSD 240GB/Case R5 RGB/PSU 600W/HDD 1TB/Màn Dell E2216H/VGA </t>
  </si>
  <si>
    <t>Đào Thuỳ</t>
  </si>
  <si>
    <t>MKT-BMT03</t>
  </si>
  <si>
    <t>Bộ máy tính phòng MKT Huy sd gồm: Chíp AMD R5 3600/bảng mạch Asus B450/Bộ nhớ trong 8GB/Vỏ máy tính Aerocool Cyclon/ Nguồn máy t</t>
  </si>
  <si>
    <t>Không sử dụng</t>
  </si>
  <si>
    <t>MKT-BMT04</t>
  </si>
  <si>
    <t>Bộ máy tính MKT Phong sử dụng gồm: chip AMD R3/Bảng mạch Asus B450MK/Bộ nhớ trong 8GB/Vỏ máy tính/Nguồn máy tính 500W/Ổ cứng HDD</t>
  </si>
  <si>
    <t>MKT-BMT05</t>
  </si>
  <si>
    <t>Bộ máy tính MKT Hằng sử dụng gồm: chip AMD R3/Bảng mạch Asus B450MK/Bộ nhớ trong 8GB/Vỏ máy tính/Nguồn máy tính 500W/Ổ cứng HDD1</t>
  </si>
  <si>
    <t>VD-TBLT01</t>
  </si>
  <si>
    <t>Thiết bị lưu trữ phòng Video NAS Synology DS920+ 1 ổ cứng Seagate Ironwolf 10TB</t>
  </si>
  <si>
    <t>6/7/2022</t>
  </si>
  <si>
    <t>chỗ c Lan (trong tủ)</t>
  </si>
  <si>
    <t>VD-BMT02</t>
  </si>
  <si>
    <t>Bộ máy tính  gồm: Core i9/Main Z690A/Ram 32G/VGA 12GB/WD 6TB/Tản nhiệt V2/SSD 500GB/Màn hình Dell U2422H/ Vỏ case Venom/</t>
  </si>
  <si>
    <t>10/12/2021</t>
  </si>
  <si>
    <t>Nguyễn Gia Phong</t>
  </si>
  <si>
    <t>VD-BMT02 -NCC1</t>
  </si>
  <si>
    <t>Màn hình  LCD Dell U24222H 23.8</t>
  </si>
  <si>
    <t>09/01/2023</t>
  </si>
  <si>
    <t>Bùi Thu Hà</t>
  </si>
  <si>
    <t>VD-BMT02 -NCC2</t>
  </si>
  <si>
    <t>Ổ cứng di động 2TB</t>
  </si>
  <si>
    <t>VD-BMT02 -NCC3</t>
  </si>
  <si>
    <t xml:space="preserve">Tai nghe Sony MRX XB550AP - Red </t>
  </si>
  <si>
    <t>đã hỏng</t>
  </si>
  <si>
    <t>VD-BMT02 -NCC4</t>
  </si>
  <si>
    <t>Loa LG Bluetooth mini PL7</t>
  </si>
  <si>
    <t>VD-BMT02 -NCC5</t>
  </si>
  <si>
    <t>Linh kiện máy tính Hoàng sd: ổ cứng 10TB WD</t>
  </si>
  <si>
    <t>17/7/2020</t>
  </si>
  <si>
    <t>VD-BMT02 -NCC6</t>
  </si>
  <si>
    <t>Thay thế linh kiện máy tính video Hoàng sử dụng: ổ cứng cắm trong Seagate sky hawk 6TB</t>
  </si>
  <si>
    <t>5/3/2019</t>
  </si>
  <si>
    <t>VD-BMT02 -NCC7</t>
  </si>
  <si>
    <t>Loa sound max A4000 và lót chuột</t>
  </si>
  <si>
    <t xml:space="preserve">loa đang không sử dụng lót chuột hỏng </t>
  </si>
  <si>
    <t>VD-BMT03</t>
  </si>
  <si>
    <t xml:space="preserve">Bộ máy tính video bao gồm: 
HDD WD 2TB, SSD WD 120G, Mainboard Asus B350, Chuột G90, Bàn phím Fuhlen 1500s, Nguồn 500A, Case Golden N13W, CPU Ryzen 5 2600, Monitor Dell 23,8", VGA GTX 1060, DDRAM4 8G, </t>
  </si>
  <si>
    <t>12/5/2018</t>
  </si>
  <si>
    <t>VD-BMT04</t>
  </si>
  <si>
    <t>Bộ máy tính gồm: Main GAZ690M AORUS ELITE, CPU i9 -12900K, Ram Corsair 32G (2x16GB) DDR 3200MHz, SSD Samsung 980 Pro 1TB PCIe, HDD Seagate 4TB, VGA Asus RTX 3060-12G -V2, Tản nhiệt 140 Black, Case Cooler MB511ARG, nguồn FSP HPT2-850M/850W, phím chuột Fuhlen, màn hình Dell LCD-U2422H-23.8" WHD-3Y</t>
  </si>
  <si>
    <t>VD-BMT04-NC01</t>
  </si>
  <si>
    <t>02/02/2023</t>
  </si>
  <si>
    <t>VD -BMT05</t>
  </si>
  <si>
    <t>Bộ máy tính Long sử dụng gồm: Main Gigabyte Z690 gaming X, CPu intel Core i9
13900k, Quạt tản nhiệt 360, Ram Corsair 64gb x2, Ổ
cứng máy tính SSD 500gb, HDD Seagate 12TB,
Nguồn máy tính 1000w, Cạc màn hình RTX3090, Vỏ
case máy tính, Màn hình Dell U2422H x2, Phím
L411, Chuột L102</t>
  </si>
  <si>
    <t>04/05/2023</t>
  </si>
  <si>
    <t>VD-BMT05-NC01</t>
  </si>
  <si>
    <t>VD-BMT05-NC02</t>
  </si>
  <si>
    <t>Ổ cứng WD Ultrastar Enterprise DC HC510 10TB 3,5 inch</t>
  </si>
  <si>
    <t>11/3/2024</t>
  </si>
  <si>
    <t>VD -BMT06</t>
  </si>
  <si>
    <t>Bộ máy tính (Main GIGABYTE X870
AORUS,CPU AMD Ryzen 9 9900X,RAM
Kingston 64GB FURY, SSD Samsung 970 EVO
Plus 1TB M.2,HDD WD 4T, VGA MSI RTX 4080
16G,Tản nhiệt AIO Thermalright 360
BLACK,Nguồn Antec Neo ECO NE850G M
850W, Vó Case Antec C3 Basic...)</t>
  </si>
  <si>
    <t>22/01/2025</t>
  </si>
  <si>
    <t>EV-BMTIMAC01</t>
  </si>
  <si>
    <t>Bộ máy tính Event IMAC (Chị Yến cho) Kha sd</t>
  </si>
  <si>
    <t>EV-BMTIMAC01 NC01</t>
  </si>
  <si>
    <t xml:space="preserve">Bộ máy tính Event IMAC (Chị Yến cho) Kha sd nâng cấp Ổ SSD Samsung 500GB </t>
  </si>
  <si>
    <t>EV-BMT01</t>
  </si>
  <si>
    <t>Bộ máy tính Event Dân sd gồm Chip VT AMD/Bảng mạch chính B450M/Bộ nhớ trong 8GB/Ổ cứng SSD120GB/VMT1ST R3/Nguồn 45</t>
  </si>
  <si>
    <t>Quỳnh</t>
  </si>
  <si>
    <t>EV-BMT02</t>
  </si>
  <si>
    <t>Bộ máy tính Event Khôi Sd gồm Chip vi tính AMD/Bảng mạch chính B450M/Bộ nhớ trong 8GB/Ổ cứng SSD120GB/Vỏ máy tính 1S</t>
  </si>
  <si>
    <t>Dân</t>
  </si>
  <si>
    <t>VD-BMT01</t>
  </si>
  <si>
    <t>Case máy tính + màn Dell</t>
  </si>
  <si>
    <t>Cường</t>
  </si>
  <si>
    <t>Case Máy tính + màn + bộ bàn phím, chuột</t>
  </si>
  <si>
    <t>Tuệ</t>
  </si>
  <si>
    <t>EV-BMT05</t>
  </si>
  <si>
    <t>Bộ máy tính Event sử dụng gồm: chip AMD R5/Bảng mạch MSI B450MK/Bộ nhớ trong 16GB/Vỏ máy tính/Nguồn máy tính 600W/Ổ cứng WD1TB/M</t>
  </si>
  <si>
    <t>EV- LT01</t>
  </si>
  <si>
    <t>laptop Vaio trắng (c Yến cho)</t>
  </si>
  <si>
    <t>KT-BMT01</t>
  </si>
  <si>
    <t>Bộ máy tính Hồng PKT sử dụng gồm Chip AMD R5/Bộ nhớ trong 16GB/Bảng mạch B450M/ Ổ cứng 240GB/Vỏ máy tính/Nguồn 600W/Ổ cứng 1TB/M</t>
  </si>
  <si>
    <t>Kế toán</t>
  </si>
  <si>
    <t>KT-BMT03</t>
  </si>
  <si>
    <t>Bộ máy tính Lan PKT sử dụng gồm máy chủ HP 400G5 MT/ Màn hình Dell E2216H/ Phím chuột</t>
  </si>
  <si>
    <t>KT-MAYIN01</t>
  </si>
  <si>
    <t>Máy in canon LBP 226DW</t>
  </si>
  <si>
    <t>15/08/2022</t>
  </si>
  <si>
    <t>PKT</t>
  </si>
  <si>
    <t>KT- Ketbac</t>
  </si>
  <si>
    <t>Két bạc đựng tiền</t>
  </si>
  <si>
    <t>KT-BMT06</t>
  </si>
  <si>
    <t>Bộ máy tính Hà PKT sử dụng gồm Main Gigabyte GA-B660M D2H DDR4 - CPU Intel Core i5 -12400, Ram Kington -16G/DDR4 -3200 tản nhiệt, SSD M2 512GB, HDD Seagate 1000G, Vỏ nguồn Xigmatek XA -20/22-650. Bàn phím chuột Logitech MK1200, Màn hình Dell E2216HV-21.5"</t>
  </si>
  <si>
    <t>17/12/2022</t>
  </si>
  <si>
    <t>KT - KSTL01</t>
  </si>
  <si>
    <t>Kệ sắt đựng tài liệu KT 0,8*2m</t>
  </si>
  <si>
    <t>CCDC</t>
  </si>
  <si>
    <t>27/2/2025</t>
  </si>
  <si>
    <t>KT - BMT 04</t>
  </si>
  <si>
    <t>Màn hình Dell  - dùng của Trang MKT
Case máy tính của Tuấn thiết kế chuyển sang</t>
  </si>
  <si>
    <t>21/5/2020</t>
  </si>
  <si>
    <t xml:space="preserve">Bổ sung bàn phím của Huyền </t>
  </si>
  <si>
    <t>19/2/2025</t>
  </si>
  <si>
    <t>KT - BMT05</t>
  </si>
  <si>
    <t>Bộ máy tính  Hồng KT sd
Mạch chính vi tính Gigabyte B760M; Bộ nhớ RAM_TEAMGROUP
TLZRD416G3600HC18J01 TEAM VULCAN Z UDD4 32GB, Ổ đĩa cứng SSD của máy vi tính hiệu Gigabyte
G440E500G 500GB
Ổ cứng gắn trong SSD WD Blue SN580 NVMe SSD
1TB
Cạc màn hình Gigabyte 8G
Bộ nguồn cấp điện dùng cho máy tính 650W
Vỏ máy tính Xigmatek XA-22
Màn hình máy tính Dell S2425H 23.8INCH
Bàn phím vi tính Fuhlen L500S
Chuột vi tính Fuhlen L102</t>
  </si>
  <si>
    <t>Tài sản cố định khác</t>
  </si>
  <si>
    <t>19/02/2025</t>
  </si>
  <si>
    <t>36</t>
  </si>
  <si>
    <t xml:space="preserve"> Màn Hình Dell SE2425H (23.8 inch - VA - FHD - 75Hz - 5ms)</t>
  </si>
  <si>
    <t>Máy móc thiết bị</t>
  </si>
  <si>
    <t>Chuột Rapoo Có  dây  N200</t>
  </si>
  <si>
    <t>linh kiện</t>
  </si>
  <si>
    <t>KT-BMT02</t>
  </si>
  <si>
    <t>Bộ máy tính Yến PKT sử dụng gồm Chip AMD R5/Bộ nhớ trong 16GB/Bảng mạch B450M/ Ổ cứng 240GB/Vỏ máy tính/Nguồn 600W/Ổ cứng 1TB/Mà</t>
  </si>
  <si>
    <t>Đặng Thị Nga</t>
  </si>
  <si>
    <t>BGD- GS</t>
  </si>
  <si>
    <t>Gia sach tron phong TGD (1c)</t>
  </si>
  <si>
    <t>Lê Hải Yến</t>
  </si>
  <si>
    <t>Ban giám đốc</t>
  </si>
  <si>
    <t>BGD-BTK</t>
  </si>
  <si>
    <t>Ban tiep khach hinh chu nhat mat kinh phong TGD (1c)</t>
  </si>
  <si>
    <t>BGD-BTC</t>
  </si>
  <si>
    <t xml:space="preserve">Mua bút trình chiếu Sportline cho Sếp yến sử dụng </t>
  </si>
  <si>
    <t>BGD-LTSF01</t>
  </si>
  <si>
    <t>Lap top Surface màu tím Trợ lý TGĐ sử dụng (C Yen cho)</t>
  </si>
  <si>
    <t>BGD-BMTIMAC01</t>
  </si>
  <si>
    <t>Bộ máy tính BGĐ IMAC Yến sử dụng (gồm: Ổ SSD Samsung 1T, Ram 16GB)</t>
  </si>
  <si>
    <t>BGD-BC</t>
  </si>
  <si>
    <t>BGD-BTKT</t>
  </si>
  <si>
    <t>Mua bàn tròn và 4 ghế tam giác màu trắng + màu vàng phòng TGĐ</t>
  </si>
  <si>
    <t>2/5/2019</t>
  </si>
  <si>
    <t>BGD-SOFA</t>
  </si>
  <si>
    <t>Sofa văng vàng 2m phòng TGĐ (1c)</t>
  </si>
  <si>
    <t>BGD-BOAMTRAHOA</t>
  </si>
  <si>
    <t>Bộ ấm trà cao cấp in hoa phòng TGĐ sử dụng (1bo)</t>
  </si>
  <si>
    <t>BGD-BNNL</t>
  </si>
  <si>
    <t>Bình nước nóng lạnh</t>
  </si>
  <si>
    <t>BGD-BGLV</t>
  </si>
  <si>
    <t>Bộ bàn ghế làm việc</t>
  </si>
  <si>
    <t>BGD-QUATTANNHIET</t>
  </si>
  <si>
    <t>Quạt tản nhiệt</t>
  </si>
  <si>
    <t>BGD-GLVTNTGD</t>
  </si>
  <si>
    <t>Ghế lưới làm việc tại nhà</t>
  </si>
  <si>
    <t>Phòng ban</t>
  </si>
  <si>
    <t>Số lượng nhân sự</t>
  </si>
  <si>
    <t>MH</t>
  </si>
  <si>
    <t>Dùng</t>
  </si>
  <si>
    <t>Không Dùng</t>
  </si>
  <si>
    <t xml:space="preserve">Duy lớn 2 MH, Hà ko PC </t>
  </si>
  <si>
    <t>còn 3 máy ko dùng ( 1 máy ở cạnh thùy, 1 vân anh, 1 vy )</t>
  </si>
  <si>
    <t>Hoàng lớn dung 2 máy, 1 máy ko dùng ( 1 máy khôi )</t>
  </si>
  <si>
    <t>Còn 1 máy ko dùng ( chỗ Phương Anh )</t>
  </si>
  <si>
    <t>Anh Nghị 2 MH</t>
  </si>
  <si>
    <t>HCNS + trợ lý</t>
  </si>
  <si>
    <t>C hằng ko dùng PC</t>
  </si>
  <si>
    <t>DANH SÁCH MAIL CÔNG TY</t>
  </si>
  <si>
    <t>MÃ NHÂN VIÊN</t>
  </si>
  <si>
    <t xml:space="preserve">HỌ TÊN </t>
  </si>
  <si>
    <t xml:space="preserve">TRẠNG THÁI </t>
  </si>
  <si>
    <t xml:space="preserve">BỘ PHẬN </t>
  </si>
  <si>
    <t>CHỨC DANH LÀM VIỆC  CHÍNH THỨC
( Tiếng Anh)</t>
  </si>
  <si>
    <t>EMAIL CÔNG TY</t>
  </si>
  <si>
    <t>NGÀY VÀO LÀM VIỆC</t>
  </si>
  <si>
    <t>NGÀY NGHỈ VIỆC</t>
  </si>
  <si>
    <t>NGÀY CẤP MAIL</t>
  </si>
  <si>
    <t>MAIL HỆ THỐNG</t>
  </si>
  <si>
    <t>GÓI MS365</t>
  </si>
  <si>
    <t>TRẠNG THÁI CÀI OFFICE OFF</t>
  </si>
  <si>
    <t>TRẠNG THÁI CÀI ĐẶT TÍNH NĂNG GÓI PREMIUM</t>
  </si>
  <si>
    <t>KIỂM SOÁT ĐĂNG NHẬP THIẾT BỊ</t>
  </si>
  <si>
    <t>KIỂM SOÁT ĐĂNG NHẬP EMAIL</t>
  </si>
  <si>
    <t>KIỂM SOÁT TẢI - GỬI DỮ LIỆU</t>
  </si>
  <si>
    <t>CÀI ĐẶT PM TỪ XA</t>
  </si>
  <si>
    <t>KHÓA MÁY TỪ XA</t>
  </si>
  <si>
    <t>XÓA DỮ LIỆU TỪ XA</t>
  </si>
  <si>
    <t>CHẶN ĐĂNG NHẬP GMAIL</t>
  </si>
  <si>
    <t>LOẠI THIẾT BỊ ĐANG SD</t>
  </si>
  <si>
    <t>WIN ĐANG CÀI ĐẶT</t>
  </si>
  <si>
    <t>PHÂN QUYỀN USER</t>
  </si>
  <si>
    <t>NGÀY THỰC HIỆN</t>
  </si>
  <si>
    <t>PHƯƠNG ÁN QUẢN TRỊ THIẾT BỊ</t>
  </si>
  <si>
    <t>PHƯƠNG ÁN QUẢN TRỊ PHẦN MỀM</t>
  </si>
  <si>
    <t>TÌNH TRẠNG CÀI ĐẶT PM TRÊN THIẾT BỊ</t>
  </si>
  <si>
    <t>NGƯỜI NHẬN BÀN GIAO</t>
  </si>
  <si>
    <t>LOẠI THIẾT BỊ</t>
  </si>
  <si>
    <t>SỐ LƯỢNG THIẾT BỊ</t>
  </si>
  <si>
    <t>TỔNG</t>
  </si>
  <si>
    <t>Win bản quyền - Pro</t>
  </si>
  <si>
    <t>Win bản quyền - Home</t>
  </si>
  <si>
    <t>MacOS</t>
  </si>
  <si>
    <t>Chưa có Win bản quyền</t>
  </si>
  <si>
    <t>Đã phân quyền user/ cài đặt PM theo quy định thiết bị</t>
  </si>
  <si>
    <t>Đang cài PM crack</t>
  </si>
  <si>
    <t>I. BAN GIÁM ĐỐC</t>
  </si>
  <si>
    <t>PC - Công ty</t>
  </si>
  <si>
    <t>Tuấn Anh  (sketchup)</t>
  </si>
  <si>
    <t>Đang kích hoạt</t>
  </si>
  <si>
    <t>E3 - Enterprise</t>
  </si>
  <si>
    <t>7/7</t>
  </si>
  <si>
    <t>Đã KS- MS365 premium</t>
  </si>
  <si>
    <t>Laptop cá nhân - surface</t>
  </si>
  <si>
    <t xml:space="preserve">Laptop công ty </t>
  </si>
  <si>
    <t>Basic</t>
  </si>
  <si>
    <t>Laptop công ty - Surface</t>
  </si>
  <si>
    <t>II. KINH DOANH - ACCOUNT</t>
  </si>
  <si>
    <t>Laptop cá nhân - MacOS</t>
  </si>
  <si>
    <t>Standard</t>
  </si>
  <si>
    <t>Đã cài đặt</t>
  </si>
  <si>
    <t>Đã thực hiện</t>
  </si>
  <si>
    <t>Quản lý thủ công - M365 Basic</t>
  </si>
  <si>
    <t>vẫn đang sử dụng Office offline</t>
  </si>
  <si>
    <t>Laptop cá nhân</t>
  </si>
  <si>
    <t>Đang cài đặt bản crack</t>
  </si>
  <si>
    <t>III. THIẾT KẾ - DESIGN</t>
  </si>
  <si>
    <t>Premium</t>
  </si>
  <si>
    <t>Các phần mềm chưa có bq: 
- 3Ds Max
- Chaos Corona
- Chaos Vray
- Auto CAD (đang thử nghiệm Vina-CAD rẻ hơn)
- Unreal Engine 5
- Blender</t>
  </si>
  <si>
    <t>Bản quyền MS365</t>
  </si>
  <si>
    <t>Bản quyền Win</t>
  </si>
  <si>
    <t>Thiết bị</t>
  </si>
  <si>
    <t>CÀI ĐẶT PHẦN MỀM</t>
  </si>
  <si>
    <t>Đúng quy định - it kiểm soát</t>
  </si>
  <si>
    <t>IT đã kiểm tra L1- không kiểm soát</t>
  </si>
  <si>
    <t xml:space="preserve">Laptop cá nhân </t>
  </si>
  <si>
    <t>IT kiểm soát đúng quy định</t>
  </si>
  <si>
    <t>SketchUp Pro</t>
  </si>
  <si>
    <t>V. SÁNG TẠO - CREATIVE</t>
  </si>
  <si>
    <t>Laptop công ty</t>
  </si>
  <si>
    <t>Quản lý M365 Premium</t>
  </si>
  <si>
    <t>IT check PM cài đặt máy ngày 22/07/2026</t>
  </si>
  <si>
    <t>Chờ laptop mới</t>
  </si>
  <si>
    <t>VI. TRUYỀN THÔNG - MARKETING</t>
  </si>
  <si>
    <t>VII. SẢN XUẤT VIDEO - VIDEO PRODUTION</t>
  </si>
  <si>
    <t>TP Video</t>
  </si>
  <si>
    <t>Chưa cài đặt User</t>
  </si>
  <si>
    <t xml:space="preserve">VIII. TÀI CHÍNH &amp; KẾ TOÁN - FINANCE &amp; ACCOUNTING </t>
  </si>
  <si>
    <t>Chỉ quản lý được tại thời điểm check máy</t>
  </si>
  <si>
    <t xml:space="preserve">Phần mềm kế toán MISA 2023 - bắt buộc yêu cầu quyền ADMIN mới có thể mở phần mềm và sử dụng. </t>
  </si>
  <si>
    <t>IX. HÀNH CHÍNH NHÂN SỰ - HR &amp; ADMIN</t>
  </si>
  <si>
    <t>Hoàng Thị Thu Trang</t>
  </si>
  <si>
    <t>X. DỰ ÁN - PROJECT</t>
  </si>
  <si>
    <t>Đang cài đặt bản crack, Office Offline, Camtasia3</t>
  </si>
  <si>
    <t>Photoshop dùng chung acc</t>
  </si>
  <si>
    <t>XI. XƯỞNG - PRODUCTION</t>
  </si>
  <si>
    <t>XII. KHÁC</t>
  </si>
  <si>
    <t>KHAC</t>
  </si>
  <si>
    <t>Hr</t>
  </si>
  <si>
    <t>hr@newdaymedia.com.vn</t>
  </si>
  <si>
    <t>Newday media JSC</t>
  </si>
  <si>
    <t>NewdayAdmin@NewdayAdmin.onmicrosoft.com</t>
  </si>
  <si>
    <t>Du An  2026</t>
  </si>
  <si>
    <t>du-an2026@newdaymedia.com.vn</t>
  </si>
  <si>
    <t>info@newdaymedia.com.vn</t>
  </si>
  <si>
    <t>NHÂN SỰ NGHỈ VIỆC</t>
  </si>
  <si>
    <t>NGÀY KHOÁ MAIL</t>
  </si>
  <si>
    <t>NGÀY XOÁ MAIL</t>
  </si>
  <si>
    <t>Nguyễn Hoài Yến Nhi</t>
  </si>
  <si>
    <t xml:space="preserve">Nghỉ việc </t>
  </si>
  <si>
    <t>Hr &amp; Admin</t>
  </si>
  <si>
    <t>Đã xoá</t>
  </si>
  <si>
    <t>HR &amp; Office Manager</t>
  </si>
  <si>
    <t>Senior Event Producer/ Technical</t>
  </si>
  <si>
    <t>Lamvt@newdaymedia.com.vn</t>
  </si>
  <si>
    <t>Video Editor</t>
  </si>
  <si>
    <t>phongng@newdaymedia.com.vn</t>
  </si>
  <si>
    <t>Concept Artist</t>
  </si>
  <si>
    <t>uyennnm@newdaymedia.com.vn</t>
  </si>
  <si>
    <t>HR &amp; Admintration Executive</t>
  </si>
  <si>
    <t>dungntv@newdaymedia.com.vn</t>
  </si>
  <si>
    <t>Event Production Officer</t>
  </si>
  <si>
    <t>Longpt@newdaymedia.com.vn</t>
  </si>
  <si>
    <t>Event Excutive</t>
  </si>
  <si>
    <t>tuepa@newdaymedia.com.vn</t>
  </si>
  <si>
    <t xml:space="preserve">Event Producer </t>
  </si>
  <si>
    <t>Không có</t>
  </si>
  <si>
    <t>Senior Finance &amp; Accountant</t>
  </si>
  <si>
    <t>thuongbtq@newdaymedia.com.vn</t>
  </si>
  <si>
    <t>Intern Content Marketing</t>
  </si>
  <si>
    <t>Ngocnp@newdaymedia.com.vn</t>
  </si>
  <si>
    <t>Anhpm@newdaymedia.com.vn</t>
  </si>
  <si>
    <t>Ngantq@newdaymedia.com.vn</t>
  </si>
  <si>
    <t>3D Designer</t>
  </si>
  <si>
    <t>Thanhdn@newdaymedia.com.vn</t>
  </si>
  <si>
    <t>HR &amp; Admintration Intern</t>
  </si>
  <si>
    <t>Linhntt@newdaymedia.com.vn</t>
  </si>
  <si>
    <t>diepta@newdaymedia.com.vn</t>
  </si>
  <si>
    <t>Creative Event Planner</t>
  </si>
  <si>
    <t>minhnt@newdaymedia.com.vn</t>
  </si>
  <si>
    <t>Event Manager</t>
  </si>
  <si>
    <t>vankha@newdaymedia.com.vn</t>
  </si>
  <si>
    <t>Đã khoá - thu hồi license</t>
  </si>
  <si>
    <t>Project Manager</t>
  </si>
  <si>
    <t>Tungtt@newdaymedia.com.vn</t>
  </si>
  <si>
    <t>tuanlv@newdaymedia.com.vn</t>
  </si>
  <si>
    <t xml:space="preserve">Event Intern </t>
  </si>
  <si>
    <t>nhunglt@newdaymedia.com.vn</t>
  </si>
  <si>
    <t>huyentt@newdaymedia.com.vn</t>
  </si>
  <si>
    <t>mydnt@newdaymedia.com.vn</t>
  </si>
  <si>
    <t>Nguyễn Thu Phương</t>
  </si>
  <si>
    <t>Nghỉ việc</t>
  </si>
  <si>
    <t>Intern Marketing</t>
  </si>
  <si>
    <t>phuongnt@newdaymedia.com.vn</t>
  </si>
  <si>
    <t>Intern Video Content Editor</t>
  </si>
  <si>
    <t>Hueptk@newdaymedia.com.vn</t>
  </si>
  <si>
    <t>Assistant of General Director</t>
  </si>
  <si>
    <t>nhungpp@newdaymedia.com.vn</t>
  </si>
  <si>
    <t>Social Media Executive</t>
  </si>
  <si>
    <t>huongttm@newdaymedia.com.vn</t>
  </si>
  <si>
    <t>anhnv@newdaymedia.com.vn</t>
  </si>
  <si>
    <t xml:space="preserve">Marketing Intern </t>
  </si>
  <si>
    <t>Anhnct@newdaymedia.com.vn</t>
  </si>
  <si>
    <t>khoiplm@newdaymedia.com.vn</t>
  </si>
  <si>
    <t>Script Editor</t>
  </si>
  <si>
    <t>thaoqp@newdaymedia.com.vn</t>
  </si>
  <si>
    <t>Thanhnq@newdaymedia.com.vn</t>
  </si>
  <si>
    <t>Marketing Communication Director</t>
  </si>
  <si>
    <t>anhpn@newdaymedia.com.vn</t>
  </si>
  <si>
    <t>Administrative Receptionist</t>
  </si>
  <si>
    <t>Hangnd@newdaymedia.com.vn</t>
  </si>
  <si>
    <t>Finance &amp; Accounting Manager</t>
  </si>
  <si>
    <t>nhungnh@newdaymedia.com.vn</t>
  </si>
  <si>
    <t>huongnm@newdaymedia.com.vn</t>
  </si>
  <si>
    <t>Creative Director</t>
  </si>
  <si>
    <t>Daint@newdaymedia.com.vn</t>
  </si>
  <si>
    <t>Event check</t>
  </si>
  <si>
    <t>eventcheck@newdaymedia.com.vn</t>
  </si>
  <si>
    <t>DATA NHÂN SỰ 2026</t>
  </si>
  <si>
    <t xml:space="preserve">Định nghĩa mã nhân sự:  2 số cuối năm của ngày on job- 001 ba chữ số theo thứ tự tăng dần </t>
  </si>
  <si>
    <t>HÌNH THỨC LÀM VIỆC</t>
  </si>
  <si>
    <t xml:space="preserve">KHỐI </t>
  </si>
  <si>
    <t>CHỨC DANH LÀM VIỆC  (Tiếng Việt )</t>
  </si>
  <si>
    <t>NHÓM CHỨC NĂNG</t>
  </si>
  <si>
    <t xml:space="preserve">PHÂN CẤP VỊ TRÍ </t>
  </si>
  <si>
    <t>EMAIL CÁ NHÂN</t>
  </si>
  <si>
    <t xml:space="preserve">NGÀY GIA NHẬP </t>
  </si>
  <si>
    <t>NĂM VÀO LÀM VIỆC</t>
  </si>
  <si>
    <t>NGÀY BẮT ĐẦU TTS</t>
  </si>
  <si>
    <t>NGÀY KẾT THÚC TTS</t>
  </si>
  <si>
    <t xml:space="preserve">NGÀY BẮT ĐẦU THỬ VIỆC </t>
  </si>
  <si>
    <t>NGÀY KẾT THÚC THỬ VIỆC</t>
  </si>
  <si>
    <t xml:space="preserve">NGÀY LÊN CHÍNH THỨC </t>
  </si>
  <si>
    <t>NGÀY KẾT THÚC TRẠNG THÁI GẦN NHẤT</t>
  </si>
  <si>
    <t>Chính thức</t>
  </si>
  <si>
    <t>Fulltime</t>
  </si>
  <si>
    <t>Văn phòng</t>
  </si>
  <si>
    <t>General Director</t>
  </si>
  <si>
    <t>Tổng giám đốc</t>
  </si>
  <si>
    <t>BOD</t>
  </si>
  <si>
    <t>Executive Board</t>
  </si>
  <si>
    <t>haiyen.le@newdaymedia.com.vn</t>
  </si>
  <si>
    <t>20/01/2010</t>
  </si>
  <si>
    <t>HĐLĐ KXĐTH</t>
  </si>
  <si>
    <t>Larkin Thu Hà</t>
  </si>
  <si>
    <t>Co-founder/ Executive Board Member</t>
  </si>
  <si>
    <t>Cổ đông/ Thành viên Ban Quản trị</t>
  </si>
  <si>
    <t>thuha@newdaymedia.com.vn</t>
  </si>
  <si>
    <t>jennyleha@gmail.com</t>
  </si>
  <si>
    <t>Phạm Khánh Băng</t>
  </si>
  <si>
    <t>Chairman</t>
  </si>
  <si>
    <t>Chủ tịch HĐQT</t>
  </si>
  <si>
    <t>khanhbang@newdaymedia.com.vn</t>
  </si>
  <si>
    <t> </t>
  </si>
  <si>
    <t>Nguyễn Thị Thu Lan</t>
  </si>
  <si>
    <t>Deputy General Director / CORPORATE CLIENT DIRECTOR</t>
  </si>
  <si>
    <t>Phó tổng giám đốc/ Giám đốc Kinh Doanh</t>
  </si>
  <si>
    <t>CORPORATE CLIENT</t>
  </si>
  <si>
    <t>thulan@newdaymedia.com.vn</t>
  </si>
  <si>
    <t>ko dùng</t>
  </si>
  <si>
    <t>15/08/2016</t>
  </si>
  <si>
    <t>Thái Bảo Ngọc</t>
  </si>
  <si>
    <t>Senior Account Executive</t>
  </si>
  <si>
    <t>Chuyên viên kinh doanh</t>
  </si>
  <si>
    <t>Senior - Chuyên gia</t>
  </si>
  <si>
    <t>ngoctb@newdaymedia.com.vn</t>
  </si>
  <si>
    <t>ngocthaibao22@gmail,com</t>
  </si>
  <si>
    <t>10/07/2023</t>
  </si>
  <si>
    <t>Đặng Thế Quang</t>
  </si>
  <si>
    <t>quangdt@newdaymedia.com.vn</t>
  </si>
  <si>
    <t>quangdang1289@gmail.com</t>
  </si>
  <si>
    <t>05/09/2023</t>
  </si>
  <si>
    <t>Design Manager</t>
  </si>
  <si>
    <t>Trưởng phòng thiết kế</t>
  </si>
  <si>
    <t>MANAGEMENT</t>
  </si>
  <si>
    <t>Trưởng phòng - Manager</t>
  </si>
  <si>
    <t>quocnghi@newdaymedia.com.vn</t>
  </si>
  <si>
    <t xml:space="preserve">hqn1110@gmail.com </t>
  </si>
  <si>
    <t>25/05/2020</t>
  </si>
  <si>
    <t>3D Graphic Team leader</t>
  </si>
  <si>
    <t>Trưởng nhóm thiết kế 3D</t>
  </si>
  <si>
    <t>TEAM 3D</t>
  </si>
  <si>
    <t xml:space="preserve">Trưởng nhóm - Team leader </t>
  </si>
  <si>
    <t>vietthang@newdaymedia.com.vn</t>
  </si>
  <si>
    <t>lyzhongxian@gmail.com</t>
  </si>
  <si>
    <t>06/09/2021</t>
  </si>
  <si>
    <t xml:space="preserve">Concept Development Team leader  </t>
  </si>
  <si>
    <t>Trưởng nhóm phát triển ý tưởng</t>
  </si>
  <si>
    <t>TEAM CONCEPT DEVELOPMENT</t>
  </si>
  <si>
    <t>mainp@newdaymedia.com.vn</t>
  </si>
  <si>
    <t>teophuongmai@gmail.com</t>
  </si>
  <si>
    <t>13/09/2021</t>
  </si>
  <si>
    <t>2D Graphic Designer</t>
  </si>
  <si>
    <t>Chuyên viên thiết kế 2D</t>
  </si>
  <si>
    <t>TEAM 2D</t>
  </si>
  <si>
    <t>Junior - Nhân viên</t>
  </si>
  <si>
    <t>thaottt@newdaymedia.com.vn</t>
  </si>
  <si>
    <t>thaithao1689x@gmail.com</t>
  </si>
  <si>
    <t>20/02/2023</t>
  </si>
  <si>
    <t>3D Graphic Designer</t>
  </si>
  <si>
    <t>Chuyên viên thiết kế 3D</t>
  </si>
  <si>
    <t>linhvtm@newdaymedia.com.vn</t>
  </si>
  <si>
    <t>mailinhnt97@gmail.com</t>
  </si>
  <si>
    <t>28/02/2023</t>
  </si>
  <si>
    <t>Concept Development Excutive</t>
  </si>
  <si>
    <t>Chuyên viên phát triển ý tưởng</t>
  </si>
  <si>
    <t>tiennt@newdaymedia.com.vn</t>
  </si>
  <si>
    <t>ngthuytien2810@gmail.com</t>
  </si>
  <si>
    <t>15/08/2024</t>
  </si>
  <si>
    <t>khanhbtt@newdaymedia.com.vn</t>
  </si>
  <si>
    <t>tuekhanhbuitrinh@gmail.com</t>
  </si>
  <si>
    <t>Nhân viên thiết kế 2D</t>
  </si>
  <si>
    <t>Duyvd@newdaymedia.com.vn</t>
  </si>
  <si>
    <t>duyvd101@gmail.com</t>
  </si>
  <si>
    <t>02/03/2026</t>
  </si>
  <si>
    <t>Thử việc</t>
  </si>
  <si>
    <t>Namtd@newdaymedia.com.vn</t>
  </si>
  <si>
    <t>10/08/2026</t>
  </si>
  <si>
    <t>Event Team Leader</t>
  </si>
  <si>
    <t>Trưởng nhóm sự kiện</t>
  </si>
  <si>
    <t>OPERATION TEAM</t>
  </si>
  <si>
    <t>danbx@newdaymedia.com.vn</t>
  </si>
  <si>
    <t>xuandan.ptit@gmail.com</t>
  </si>
  <si>
    <t>16/05/2022</t>
  </si>
  <si>
    <t>Event Executive</t>
  </si>
  <si>
    <t xml:space="preserve">Chuyên viên sự kiện </t>
  </si>
  <si>
    <t>gianghh@newdaymedia.com.vn</t>
  </si>
  <si>
    <t>hoanghagiang1603@gmail.com</t>
  </si>
  <si>
    <t>01/12/2023</t>
  </si>
  <si>
    <t>Dương Nguyên Bảo</t>
  </si>
  <si>
    <t xml:space="preserve">Chuyên viên vận hành sự kiện </t>
  </si>
  <si>
    <t>PRODUCTION TEAM</t>
  </si>
  <si>
    <t>baodn@newdaymedia.com.vn</t>
  </si>
  <si>
    <t>nguyenbao.prod@gmail.com</t>
  </si>
  <si>
    <t>09/06/2025</t>
  </si>
  <si>
    <t>anhnp1@newdaymedia.com.vn</t>
  </si>
  <si>
    <t xml:space="preserve">ngvu.phganh@gmail.com </t>
  </si>
  <si>
    <t>04/08/2025</t>
  </si>
  <si>
    <t>Hoàng Tuấn Anh</t>
  </si>
  <si>
    <t>Anhht@newdaymedia.com.vn</t>
  </si>
  <si>
    <t>ht.anhdesigner@gmail.com</t>
  </si>
  <si>
    <t>03/09/2025</t>
  </si>
  <si>
    <t>Lê Thị Hồng Vân</t>
  </si>
  <si>
    <t>TTS</t>
  </si>
  <si>
    <t>TTS sự kiện</t>
  </si>
  <si>
    <t>Intern - Thực tập sinh</t>
  </si>
  <si>
    <t>Vanlth@newdaymedia.com.vn</t>
  </si>
  <si>
    <t>vannle7102003@gmail.com</t>
  </si>
  <si>
    <t>17/03/2026</t>
  </si>
  <si>
    <t>Nguyễn Sĩ Thạch</t>
  </si>
  <si>
    <t>Event Intern</t>
  </si>
  <si>
    <t>04/06/2026</t>
  </si>
  <si>
    <t xml:space="preserve"> Creative Manager </t>
  </si>
  <si>
    <t>Trưởng phòng sáng tạo</t>
  </si>
  <si>
    <t>hoangnh@newdaymedia.com.vn</t>
  </si>
  <si>
    <t>30/09/2020</t>
  </si>
  <si>
    <t>Creative Team leader</t>
  </si>
  <si>
    <t>Trưởng nhóm sáng tạo</t>
  </si>
  <si>
    <t>TEAM CONTENT</t>
  </si>
  <si>
    <t>duchoang@newdaymedia.com.vn</t>
  </si>
  <si>
    <t>dangduchoanghp99@gmail.com</t>
  </si>
  <si>
    <t>19/05/2021</t>
  </si>
  <si>
    <t>Nguyễn Thị Hà Giang</t>
  </si>
  <si>
    <t>Chuyên viên kế hoạch sự kiện</t>
  </si>
  <si>
    <t>giangnth@newdaymedia.com.vn</t>
  </si>
  <si>
    <t>hagiangnguyen7509@gmail</t>
  </si>
  <si>
    <t>01/04/2024</t>
  </si>
  <si>
    <t>Nguyễn Hà Quỳnh Anh</t>
  </si>
  <si>
    <t>anhnhq@newdaymedia.com.vn</t>
  </si>
  <si>
    <t>nguyenhaquynhanh.work@gmail.com</t>
  </si>
  <si>
    <t>01/08/2024</t>
  </si>
  <si>
    <t>Giangnt@newdaymedia.com.vn</t>
  </si>
  <si>
    <t>thugiangnguyen.event@gmail.com</t>
  </si>
  <si>
    <t>01/12/2025</t>
  </si>
  <si>
    <t>Tô Hồng Đức</t>
  </si>
  <si>
    <t>Nhân viên sáng tạo</t>
  </si>
  <si>
    <t>TEAM CONCEPT</t>
  </si>
  <si>
    <t>Ducth@newdaymedia.com.vn</t>
  </si>
  <si>
    <t>hongducto1197@gmail.com</t>
  </si>
  <si>
    <t>05/01/2026</t>
  </si>
  <si>
    <t>Trần Thị Thanh Thùy</t>
  </si>
  <si>
    <t>Even Planner</t>
  </si>
  <si>
    <t>Thuyttt@newdaymedia.com.vn</t>
  </si>
  <si>
    <t>thuyttt154154@gmail.com</t>
  </si>
  <si>
    <t>Lê Đức Minh</t>
  </si>
  <si>
    <t>Minhld@newdaymedia.com.vn</t>
  </si>
  <si>
    <t>03/08/2026</t>
  </si>
  <si>
    <t>Deputy Marketing Manager</t>
  </si>
  <si>
    <t>Phó phòng Truyền thông</t>
  </si>
  <si>
    <t xml:space="preserve">Phó phòng - Vice manager </t>
  </si>
  <si>
    <t>daothuy@newdaymedia.com.vn</t>
  </si>
  <si>
    <t>daothithuy27111998@gmail.com</t>
  </si>
  <si>
    <t>Content Marketing Lead</t>
  </si>
  <si>
    <t>Trưởng nhóm nội dung</t>
  </si>
  <si>
    <t>DIGITAL</t>
  </si>
  <si>
    <t>vink@newdaymedia.com.vn</t>
  </si>
  <si>
    <t>nkhanhvi246@gmail.com</t>
  </si>
  <si>
    <t>09/05/2022</t>
  </si>
  <si>
    <t>Nguyễn Thảo Vy</t>
  </si>
  <si>
    <t>Marketing Executive</t>
  </si>
  <si>
    <t>Nhân viên marketing</t>
  </si>
  <si>
    <t>CONTENT</t>
  </si>
  <si>
    <t>vynt@newdaymedia.com.vn</t>
  </si>
  <si>
    <t>thaovy28.work@gmail.com</t>
  </si>
  <si>
    <t>25/02/2025</t>
  </si>
  <si>
    <t>Vũ Thị Bích Ngọc</t>
  </si>
  <si>
    <t>Ngocvtb@newdaymedia.com.vn</t>
  </si>
  <si>
    <t>ngocvu.211299@gmail.com</t>
  </si>
  <si>
    <t>18/06/2026</t>
  </si>
  <si>
    <t>Đào Gia Linh</t>
  </si>
  <si>
    <t>Marketing Intern</t>
  </si>
  <si>
    <t>TTS marketing</t>
  </si>
  <si>
    <t>Linhdg@newdaymedia.com.vn</t>
  </si>
  <si>
    <t>gialinhdao20122004@gmail.com</t>
  </si>
  <si>
    <t>29/06/2026</t>
  </si>
  <si>
    <t>Nguyễn Thị Huyền</t>
  </si>
  <si>
    <t>Video Production Manager</t>
  </si>
  <si>
    <t>Trưởng phòng sản xuất Video</t>
  </si>
  <si>
    <t>Huyennt1@newdaymedia.com.vn</t>
  </si>
  <si>
    <t>Script Editor Team Leader </t>
  </si>
  <si>
    <t>Trưởng nhóm visual</t>
  </si>
  <si>
    <t>COPY WRITER</t>
  </si>
  <si>
    <t>hadt@newdaymedia.com.vn</t>
  </si>
  <si>
    <t>daothuha95@gmail.com</t>
  </si>
  <si>
    <t>10/11/2022</t>
  </si>
  <si>
    <t>Visual Team Leader</t>
  </si>
  <si>
    <t>VISUAL EFFECT</t>
  </si>
  <si>
    <t>duyva@newdaymedia.com.vn</t>
  </si>
  <si>
    <t>vuanhduy1112@gmail.com</t>
  </si>
  <si>
    <t>04/04/2024</t>
  </si>
  <si>
    <t>Visual artist</t>
  </si>
  <si>
    <t>Nhân viên visual</t>
  </si>
  <si>
    <t>hoanglc@newdaymedia.com.vn</t>
  </si>
  <si>
    <t>conghoang26299@gmail.com</t>
  </si>
  <si>
    <t>12/05/2025</t>
  </si>
  <si>
    <t>12/07/2025</t>
  </si>
  <si>
    <t>Visual Concept Artist</t>
  </si>
  <si>
    <t>Chuyên viên sáng tạo hình ảnh</t>
  </si>
  <si>
    <t>CONCEPT ARTIST</t>
  </si>
  <si>
    <t>duyvh@newdaymedia.com.vn</t>
  </si>
  <si>
    <t>ragonduy@gmail.com</t>
  </si>
  <si>
    <t>30/07/2025</t>
  </si>
  <si>
    <t>Nhân viên dựng video</t>
  </si>
  <si>
    <t>EDITOR</t>
  </si>
  <si>
    <t>Thangnn@newdaymedia.com.vn</t>
  </si>
  <si>
    <t>thang0963141@gmail.com</t>
  </si>
  <si>
    <t>25/09/2025</t>
  </si>
  <si>
    <t>Tuanna@newdaymedia.com.vn</t>
  </si>
  <si>
    <t>anhtuanng1710@gmail.com</t>
  </si>
  <si>
    <t>16/12/2025</t>
  </si>
  <si>
    <t>3D Graphic Artist</t>
  </si>
  <si>
    <t>Nhân viên thiết kế 3D</t>
  </si>
  <si>
    <t>3D ARTIST</t>
  </si>
  <si>
    <t>Anhpv@newdaymedia.com.vn</t>
  </si>
  <si>
    <t>vaphvng@gmail.com</t>
  </si>
  <si>
    <t>Trưởng phòng tài chính kế toán</t>
  </si>
  <si>
    <t>nguyenhong@newdaymedia.com.vn</t>
  </si>
  <si>
    <t>anhhong10082008@gmail.com</t>
  </si>
  <si>
    <t>15/03/2017</t>
  </si>
  <si>
    <t>Chuyên viên kế toán tổng hợp</t>
  </si>
  <si>
    <t>INTERNAL FINANCE</t>
  </si>
  <si>
    <t>anhnp@newdaymedia.com.vn</t>
  </si>
  <si>
    <t>phuongphuonganh1982@gmail.com</t>
  </si>
  <si>
    <t>20/03/2010</t>
  </si>
  <si>
    <t xml:space="preserve">TAX &amp; COMPLIANE </t>
  </si>
  <si>
    <t>huyenlt@newdaymedia.com.vn</t>
  </si>
  <si>
    <t>huyenlt311@gmail.com</t>
  </si>
  <si>
    <t>PURCHASSING</t>
  </si>
  <si>
    <t>hant@newdaymedia.com.vn</t>
  </si>
  <si>
    <t>ha.nguyen2975@gmail.com</t>
  </si>
  <si>
    <t>26/06/2025</t>
  </si>
  <si>
    <t>Hoaintt@newdaymedia.com.vn</t>
  </si>
  <si>
    <t>nguyenthuhoai050995@gmail.com</t>
  </si>
  <si>
    <t>17/11/2025</t>
  </si>
  <si>
    <t>Ducbh@newdaymedia.com.vn</t>
  </si>
  <si>
    <t>huuduc3003@gmail.com</t>
  </si>
  <si>
    <t>24/11/2025</t>
  </si>
  <si>
    <t>HR &amp; Admintration Manager</t>
  </si>
  <si>
    <t>Trưởng phòng HCNS</t>
  </si>
  <si>
    <t>HR TEAM</t>
  </si>
  <si>
    <t>hangbtl@newdaymedia.com.vn</t>
  </si>
  <si>
    <t>lehang06ht@gmail.com</t>
  </si>
  <si>
    <t>23/06/2025</t>
  </si>
  <si>
    <t>Nhân viên HCNS</t>
  </si>
  <si>
    <t>Hainth@newdaymedia.com.vn</t>
  </si>
  <si>
    <t>ngothihonghai2001nd@gmail.cọm</t>
  </si>
  <si>
    <t>15/07/2025</t>
  </si>
  <si>
    <t>Nhân viên Hành chính - Lễ tân</t>
  </si>
  <si>
    <t>Tranghtt@newdaymedia.com.vn</t>
  </si>
  <si>
    <t>Lê Văn Thịnh</t>
  </si>
  <si>
    <t>IT HELPDESK</t>
  </si>
  <si>
    <t>Thinhlv@newdaymedia.com.vn</t>
  </si>
  <si>
    <t>03/09/2026</t>
  </si>
  <si>
    <t>Phạm Thị Xuyến</t>
  </si>
  <si>
    <t>Office Cleaner</t>
  </si>
  <si>
    <t xml:space="preserve">Tạp vụ </t>
  </si>
  <si>
    <t>10/06/2026</t>
  </si>
  <si>
    <t>Hoàng Thị Thoa</t>
  </si>
  <si>
    <t>Trợ lý TGĐ</t>
  </si>
  <si>
    <t>ADMINISTRATION TEAM</t>
  </si>
  <si>
    <t>Thoaht1@newdaymedia.com.vn</t>
  </si>
  <si>
    <t>hoangthoaajc@gmail.com</t>
  </si>
  <si>
    <t>23/03/2026</t>
  </si>
  <si>
    <t>Đỗ Mỹ Linh</t>
  </si>
  <si>
    <t>Dự án - Project</t>
  </si>
  <si>
    <t xml:space="preserve">Chuyên viên sáng tạo </t>
  </si>
  <si>
    <t>LONGTERM PROJECT ACCOUNT</t>
  </si>
  <si>
    <t>Linhdm@newdaymedia.com.vn</t>
  </si>
  <si>
    <t>dolinh22897@gmail.com</t>
  </si>
  <si>
    <t>08/12/2025</t>
  </si>
  <si>
    <t>Văn Thị Hoàng Ngân</t>
  </si>
  <si>
    <t>Chuyên viên sáng tạo</t>
  </si>
  <si>
    <t>Nganvth@newdaymedia.com.vn</t>
  </si>
  <si>
    <t>Kiều Như Quỳnh</t>
  </si>
  <si>
    <t>Project Assistant</t>
  </si>
  <si>
    <t>Trợ lý dự án</t>
  </si>
  <si>
    <t>Quynhkn@newdaymedia.com.vn</t>
  </si>
  <si>
    <t>Lê Quốc Quỳnh</t>
  </si>
  <si>
    <t xml:space="preserve">Xưởng </t>
  </si>
  <si>
    <t>Prodution Director</t>
  </si>
  <si>
    <t>Giám đốc Xưởng</t>
  </si>
  <si>
    <t>quocquynh@newdaymedia.com.vn</t>
  </si>
  <si>
    <t>23/10/2019</t>
  </si>
  <si>
    <t>Đới Sĩ Thanh</t>
  </si>
  <si>
    <t xml:space="preserve">Prodution Team Leader </t>
  </si>
  <si>
    <t>Trưởng nhóm sản xuất</t>
  </si>
  <si>
    <t>26/11/2016</t>
  </si>
  <si>
    <t>Trần Thế Anh</t>
  </si>
  <si>
    <t xml:space="preserve">Senior Event Producer </t>
  </si>
  <si>
    <t>Chuyên viên sản xuất</t>
  </si>
  <si>
    <t>01/10/2016</t>
  </si>
  <si>
    <t>Phạm Văn Vui</t>
  </si>
  <si>
    <t>Nhân viên sản xuất</t>
  </si>
  <si>
    <t>01/04/2025</t>
  </si>
  <si>
    <t>Nguyễn Hữu Thanh</t>
  </si>
  <si>
    <t>Ngô Văn Luyến</t>
  </si>
  <si>
    <t>Lương Sỹ Thanh</t>
  </si>
  <si>
    <t>15/09/2025</t>
  </si>
  <si>
    <t>Phạm Văn Hùng</t>
  </si>
  <si>
    <t>Phạm Văn Điệp</t>
  </si>
  <si>
    <t>01/03/2026</t>
  </si>
  <si>
    <t>Phạm Văn Tươi</t>
  </si>
  <si>
    <t>15/03/2026</t>
  </si>
  <si>
    <t>Lê Trọng Vương</t>
  </si>
  <si>
    <t>Trịnh Thị Ngoan</t>
  </si>
  <si>
    <t>Phạm Văn Hòa</t>
  </si>
  <si>
    <t>Office Driver</t>
  </si>
  <si>
    <t>Lái xe</t>
  </si>
  <si>
    <t>19/10/2021</t>
  </si>
  <si>
    <t> 01/01/2022</t>
  </si>
  <si>
    <t>ko có mã</t>
  </si>
  <si>
    <t>Phạm Văn Trang</t>
  </si>
  <si>
    <t>Đầu bếp</t>
  </si>
  <si>
    <t>HCNS tổng hợp</t>
  </si>
  <si>
    <t>17/03/2025</t>
  </si>
  <si>
    <t>03/03/2025</t>
  </si>
  <si>
    <t>Vũ Tùng Lâm</t>
  </si>
  <si>
    <t>Chuyên viên kỹ thuật</t>
  </si>
  <si>
    <t>Lam.vu.phuckhanh@gmail.com</t>
  </si>
  <si>
    <t>24/03/2025</t>
  </si>
  <si>
    <t>Nghỉ việc tự nguyện</t>
  </si>
  <si>
    <t xml:space="preserve">Lý do cá nhân </t>
  </si>
  <si>
    <t xml:space="preserve">Đã bàn giao </t>
  </si>
  <si>
    <t>Giaphong.editor@gmail.com</t>
  </si>
  <si>
    <t>08/04/2025</t>
  </si>
  <si>
    <t>Nguyễn Ngọc Minh Uyên</t>
  </si>
  <si>
    <t>15/09/2022</t>
  </si>
  <si>
    <t>KHÔNG CÓ</t>
  </si>
  <si>
    <t xml:space="preserve">Nguyễn Thị Vân Dung </t>
  </si>
  <si>
    <t>Không đáp ứng được yêu cầu công việc</t>
  </si>
  <si>
    <t>Phạm Thanh Long</t>
  </si>
  <si>
    <t>Nhân viên sự kiện</t>
  </si>
  <si>
    <t>longpt.event@gmail.com</t>
  </si>
  <si>
    <t>01/07/2025</t>
  </si>
  <si>
    <t>Có định hướng mới trong công việc</t>
  </si>
  <si>
    <t>13/09/2025</t>
  </si>
  <si>
    <t>Công việc không phù hợp</t>
  </si>
  <si>
    <t>Nguyễn Phó Đại</t>
  </si>
  <si>
    <t>16/06/2025</t>
  </si>
  <si>
    <t>Nguyễn Phương Ngọc</t>
  </si>
  <si>
    <t>TTS truyền thông</t>
  </si>
  <si>
    <t>17/07/2025</t>
  </si>
  <si>
    <t>Phan Minh Anh</t>
  </si>
  <si>
    <t>23/07/2025</t>
  </si>
  <si>
    <t>Nguyễn Thị Quỳnh Nga</t>
  </si>
  <si>
    <t>Kết thúc thời gian thực tập</t>
  </si>
  <si>
    <t>Nhân viên thiết kế</t>
  </si>
  <si>
    <t>18/08/2025</t>
  </si>
  <si>
    <t>TTS HCNS</t>
  </si>
  <si>
    <t>30/10/2025</t>
  </si>
  <si>
    <t>Trần Ánh Diệp</t>
  </si>
  <si>
    <t>27/10/2025</t>
  </si>
  <si>
    <t>Nguyễn Tuấn Minh</t>
  </si>
  <si>
    <t>18/06/2025</t>
  </si>
  <si>
    <t>Trưởng phòng sự kiện</t>
  </si>
  <si>
    <t>28/12/2015</t>
  </si>
  <si>
    <t>Nguyễn Gia Linh</t>
  </si>
  <si>
    <t>Account Intern</t>
  </si>
  <si>
    <t>TTS kinh doanh</t>
  </si>
  <si>
    <t>Linhng@newdaymedia.com.vn</t>
  </si>
  <si>
    <t>20/11/2025</t>
  </si>
  <si>
    <t>Tạ Thanh Tùng</t>
  </si>
  <si>
    <t>Trưởng phòng dự án</t>
  </si>
  <si>
    <t>21/01/2026</t>
  </si>
  <si>
    <t>ND-0102TL/HĐLĐ</t>
  </si>
  <si>
    <t>Đặng Nguyễn Trà My</t>
  </si>
  <si>
    <t>10/11/2025</t>
  </si>
  <si>
    <t>Lê Trang Nhung</t>
  </si>
  <si>
    <t>trangnhungle4@gmail.com</t>
  </si>
  <si>
    <t>0204/2024/HDLD-NM</t>
  </si>
  <si>
    <t>luongtuan63@gmail.com</t>
  </si>
  <si>
    <t>08/05/2023</t>
  </si>
  <si>
    <t>k co mã</t>
  </si>
  <si>
    <t>03/11/2025</t>
  </si>
  <si>
    <t xml:space="preserve">Công ty cho nghỉ </t>
  </si>
  <si>
    <t>Phạm Thị Kim Huệ</t>
  </si>
  <si>
    <t>TTS dựng video</t>
  </si>
  <si>
    <t>ND-010226TL/HĐLĐ</t>
  </si>
  <si>
    <t>Trần Thành Mai Hương</t>
  </si>
  <si>
    <t>Nhân viên social media</t>
  </si>
  <si>
    <t>28/10/2024</t>
  </si>
  <si>
    <t>Nguỵ Thị Vân Anh</t>
  </si>
  <si>
    <t>vananhnguy.work@gmail.com</t>
  </si>
  <si>
    <t>20/02/2025</t>
  </si>
  <si>
    <t>18/02/2025</t>
  </si>
  <si>
    <t>ND-020326TL/HĐLĐ</t>
  </si>
  <si>
    <t>Nguyễn Cát Tường Anh</t>
  </si>
  <si>
    <t>Partime</t>
  </si>
  <si>
    <t>30/03/2026</t>
  </si>
  <si>
    <t>Nguyễn Quang Thành</t>
  </si>
  <si>
    <t>SOCIAL MEDIA</t>
  </si>
  <si>
    <t>thanhnguyenquang12@gmail.com</t>
  </si>
  <si>
    <t>25/03/2026</t>
  </si>
  <si>
    <t>ND-010326TL/HĐLĐ</t>
  </si>
  <si>
    <t>Phan Lê Minh Khôi</t>
  </si>
  <si>
    <t>phankhoi919@gmail.com</t>
  </si>
  <si>
    <t>01/06/2023</t>
  </si>
  <si>
    <t>Nhân viên Biên tập</t>
  </si>
  <si>
    <t>quachphuongthao95@gmail.com</t>
  </si>
  <si>
    <t>Phạm Ngọc Anh</t>
  </si>
  <si>
    <t>Giám đốc Tiếp thị &amp; Truyền thông</t>
  </si>
  <si>
    <t xml:space="preserve">nanamedia68@gmail.com </t>
  </si>
  <si>
    <t xml:space="preserve">ND-010526TL/HĐLĐ </t>
  </si>
  <si>
    <t>Nguyễn Diệu Hằng</t>
  </si>
  <si>
    <t>Hành chính lễ tân</t>
  </si>
  <si>
    <t xml:space="preserve">ND-020526TL/HĐLĐ </t>
  </si>
  <si>
    <t>Đỗ Thị Chúc</t>
  </si>
  <si>
    <t>Parttime</t>
  </si>
  <si>
    <t>04/07/2025</t>
  </si>
  <si>
    <t xml:space="preserve">ND-010626TL/HĐLĐ </t>
  </si>
  <si>
    <t>05/03/2026</t>
  </si>
  <si>
    <t>01/08/2025</t>
  </si>
  <si>
    <t>Nguyễn Tài Đại</t>
  </si>
  <si>
    <t>Giám đốc sáng tạo</t>
  </si>
  <si>
    <t>15/04/2026</t>
  </si>
  <si>
    <t>Bàn giao chưa xong</t>
  </si>
  <si>
    <t>longnt@newdaymedia.com.vn</t>
  </si>
  <si>
    <t>Hungnd@newdaymedia.com.vn</t>
  </si>
  <si>
    <t>duyhung.vfx@gmail.com</t>
  </si>
  <si>
    <t>15/06/2026</t>
  </si>
  <si>
    <t>Hieunc@newdaymedia.com.vn</t>
  </si>
  <si>
    <t>hieuthu27@gmail.com</t>
  </si>
  <si>
    <t>28/07/2025</t>
  </si>
  <si>
    <t>Huyennn@newdaymedia.com.vn</t>
  </si>
  <si>
    <t>nguyenngochuyen7219@gmail.com</t>
  </si>
  <si>
    <t>Vũ Ngọc Khanh</t>
  </si>
  <si>
    <t>Khanhvn@newdaymedia.com.vn</t>
  </si>
  <si>
    <t>30/07/2026</t>
  </si>
  <si>
    <t xml:space="preserve">01082026/TLHĐ/ND </t>
  </si>
  <si>
    <t xml:space="preserve">Deputy Event Manager </t>
  </si>
  <si>
    <t>Phó phòng sự kiện</t>
  </si>
  <si>
    <t>cuongll@newdaymedia.com.vn</t>
  </si>
  <si>
    <t>cuongle.ms@gmail.com</t>
  </si>
  <si>
    <t>linhthaonguyen123@gmail.com</t>
  </si>
  <si>
    <t>Đào Duy Tùng</t>
  </si>
  <si>
    <t>IT Helpdesk</t>
  </si>
  <si>
    <t>Chuyên viên IT</t>
  </si>
  <si>
    <t>Tungdd@newdaymedia.com.vn</t>
  </si>
  <si>
    <t>tungdd1.hn@gmail.com</t>
  </si>
  <si>
    <t>23/06/2026</t>
  </si>
  <si>
    <t>Tô Thị Thoa</t>
  </si>
  <si>
    <t>Thoatt@newdaymedia.com.vn</t>
  </si>
  <si>
    <t>thoatt1997@gmail.com</t>
  </si>
  <si>
    <t>Nguyễn Thành Công</t>
  </si>
  <si>
    <t>congnt@newdaymedia.com.vn</t>
  </si>
  <si>
    <t>05/08/2026</t>
  </si>
  <si>
    <t>BÁO CÁO TÌNH TRẠNG THIẾT BỊ MÁY TÍNH</t>
  </si>
  <si>
    <t>PHƯƠNG ÁN THIẾT BỊ</t>
  </si>
  <si>
    <t>TRẠNG THÁI</t>
  </si>
  <si>
    <t>LAPTOP</t>
  </si>
  <si>
    <t>WIN BẢN QUYỀN</t>
  </si>
  <si>
    <t>TK M365</t>
  </si>
  <si>
    <t>WORD/ EXCEL OFFLINE</t>
  </si>
  <si>
    <t>TK ADOBE</t>
  </si>
  <si>
    <t>Máy laptop công ty - surface</t>
  </si>
  <si>
    <t>surface</t>
  </si>
  <si>
    <t>Máy cá nhân - surface</t>
  </si>
  <si>
    <t>Máy cá nhân - MacOS</t>
  </si>
  <si>
    <t>mac- ios</t>
  </si>
  <si>
    <t>Máy cá nhân - khác</t>
  </si>
  <si>
    <t>win chưa cài</t>
  </si>
  <si>
    <t>Bộ PC công ty</t>
  </si>
  <si>
    <t xml:space="preserve">Thử việc </t>
  </si>
  <si>
    <t>Đã mua pro 11 sáng 10/06/2026</t>
  </si>
  <si>
    <t>máy cá nhân</t>
  </si>
  <si>
    <t>PC yếu phải nâng cấp</t>
  </si>
  <si>
    <t>Máy laptop công ty -  Lenovo</t>
  </si>
  <si>
    <t>Dùng laptop chị Nhung kế toán</t>
  </si>
  <si>
    <t>Máy cá nhân HP - win home bản quyền</t>
  </si>
  <si>
    <t>Cài win vào máy cá nhân Hằng</t>
  </si>
  <si>
    <t>.</t>
  </si>
  <si>
    <t>Dùng bộ máy tính cũ của TK 3D đã nghỉ - Đinh Ngọc Thành</t>
  </si>
  <si>
    <t>TỔNG 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</si>
</sst>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d\-mmm\-yy;@"/>
    <numFmt numFmtId="166" formatCode="_-* #,##0_-;\-* #,##0_-;_-* &quot;-&quot;??_-;_-@_-"/>
    <numFmt numFmtId="167" formatCode="0.000"/>
  </numFmts>
  <fonts count="7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1"/>
      <color theme="1"/>
      <name val="Aptos Narrow"/>
      <family val="2"/>
      <scheme val="minor"/>
    </font>
    <font>
      <b/>
      <sz val="11"/>
      <color rgb="FF000000"/>
      <name val="Aptos Display"/>
      <scheme val="major"/>
    </font>
    <font>
      <b/>
      <sz val="11"/>
      <color rgb="FFFF0000"/>
      <name val="Aptos Display"/>
      <scheme val="maj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10"/>
      <color theme="1"/>
      <name val="Aptos Display"/>
      <scheme val="maj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sz val="8"/>
      <color theme="1"/>
      <name val="Aptos Display"/>
      <scheme val="major"/>
    </font>
    <font>
      <u/>
      <sz val="11"/>
      <color theme="10"/>
      <name val="Aptos Narrow"/>
      <family val="2"/>
      <scheme val="minor"/>
    </font>
    <font>
      <u/>
      <sz val="20"/>
      <color theme="0"/>
      <name val="Aptos Display"/>
      <scheme val="major"/>
    </font>
    <font>
      <sz val="28"/>
      <color theme="0"/>
      <name val="Aptos Display"/>
      <scheme val="major"/>
    </font>
    <font>
      <b/>
      <sz val="9"/>
      <color theme="1"/>
      <name val="Aptos Display"/>
      <scheme val="major"/>
    </font>
    <font>
      <sz val="9"/>
      <color theme="1"/>
      <name val="Aptos Display"/>
      <scheme val="major"/>
    </font>
    <font>
      <sz val="11"/>
      <color theme="1"/>
      <name val="Times New Roman"/>
    </font>
    <font>
      <b/>
      <sz val="11"/>
      <color theme="1"/>
      <name val="Times New Roman"/>
    </font>
    <font>
      <b/>
      <sz val="16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24"/>
      <color theme="0"/>
      <name val="Times New Roman"/>
    </font>
    <font>
      <b/>
      <sz val="9"/>
      <color rgb="FFFFFFFF"/>
      <name val="Times New Roman"/>
    </font>
    <font>
      <sz val="9"/>
      <color rgb="FFFFFFFF"/>
      <name val="Times New Roman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3"/>
      <color theme="1"/>
      <name val="Aptos Display"/>
      <scheme val="major"/>
    </font>
    <font>
      <b/>
      <sz val="26"/>
      <color theme="1"/>
      <name val="Aptos Narrow"/>
      <family val="2"/>
      <scheme val="minor"/>
    </font>
    <font>
      <b/>
      <sz val="12"/>
      <color theme="0"/>
      <name val="Aptos Display"/>
      <scheme val="major"/>
    </font>
    <font>
      <b/>
      <sz val="13"/>
      <color theme="1"/>
      <name val="Times New Roman"/>
    </font>
    <font>
      <sz val="13"/>
      <color theme="1"/>
      <name val="Times New Roman"/>
    </font>
    <font>
      <b/>
      <sz val="13"/>
      <color rgb="FF000000"/>
      <name val="Times New Roman"/>
    </font>
    <font>
      <b/>
      <sz val="13"/>
      <color theme="1"/>
      <name val="Aptos Display"/>
      <scheme val="major"/>
    </font>
    <font>
      <b/>
      <sz val="10"/>
      <color rgb="FF000000"/>
      <name val="Aptos Display"/>
      <scheme val="major"/>
    </font>
    <font>
      <u/>
      <sz val="11"/>
      <color theme="10"/>
      <name val="Aptos Display"/>
      <scheme val="major"/>
    </font>
    <font>
      <b/>
      <sz val="10"/>
      <color rgb="FF000000"/>
      <name val="Segoe UI"/>
      <charset val="1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Display"/>
      <scheme val="major"/>
    </font>
    <font>
      <i/>
      <sz val="11"/>
      <color theme="1"/>
      <name val="Aptos Narrow"/>
      <family val="2"/>
      <scheme val="minor"/>
    </font>
    <font>
      <sz val="13"/>
      <color theme="1"/>
      <name val="Arial"/>
    </font>
    <font>
      <sz val="13"/>
      <color rgb="FF242424"/>
      <name val="Arial"/>
    </font>
    <font>
      <sz val="13"/>
      <color rgb="FF000000"/>
      <name val="Arial"/>
    </font>
    <font>
      <sz val="14"/>
      <color rgb="FF000000"/>
      <name val="Segoe UI"/>
      <charset val="1"/>
    </font>
    <font>
      <sz val="14"/>
      <color theme="1"/>
      <name val="Times New Roman"/>
    </font>
    <font>
      <b/>
      <sz val="8"/>
      <color rgb="FFFFFFFF"/>
      <name val="Times New Roman"/>
    </font>
    <font>
      <b/>
      <sz val="24"/>
      <color theme="1"/>
      <name val="Times New Roman"/>
    </font>
    <font>
      <b/>
      <sz val="12"/>
      <color rgb="FFFFFFFF"/>
      <name val="Times New Roman"/>
    </font>
    <font>
      <b/>
      <sz val="12"/>
      <color theme="0"/>
      <name val="Times New Roman"/>
    </font>
    <font>
      <b/>
      <sz val="14"/>
      <color theme="1"/>
      <name val="Times New Roman"/>
    </font>
    <font>
      <sz val="18"/>
      <color theme="1"/>
      <name val="Times New Roman"/>
    </font>
    <font>
      <sz val="13"/>
      <color rgb="FF000000"/>
      <name val="Times New Roman"/>
    </font>
    <font>
      <b/>
      <sz val="10"/>
      <color theme="1"/>
      <name val="Times New Roman"/>
    </font>
    <font>
      <b/>
      <i/>
      <sz val="11"/>
      <color theme="1"/>
      <name val="Times New Roman"/>
    </font>
    <font>
      <sz val="11"/>
      <color theme="0"/>
      <name val="Times New Roman"/>
    </font>
    <font>
      <b/>
      <sz val="28"/>
      <color theme="1"/>
      <name val="Times New Roman"/>
    </font>
    <font>
      <u/>
      <sz val="13"/>
      <color theme="10"/>
      <name val="Aptos Narrow"/>
      <family val="2"/>
      <scheme val="minor"/>
    </font>
    <font>
      <u/>
      <sz val="13"/>
      <color theme="1"/>
      <name val="Aptos Narrow"/>
      <family val="2"/>
      <scheme val="minor"/>
    </font>
    <font>
      <sz val="12"/>
      <color theme="1"/>
      <name val="Arial"/>
    </font>
    <font>
      <b/>
      <sz val="9"/>
      <color theme="1"/>
      <name val="Times New Roman"/>
    </font>
    <font>
      <sz val="9"/>
      <color theme="1"/>
      <name val="Times New Roman"/>
    </font>
    <font>
      <sz val="11"/>
      <color theme="1"/>
      <name val="Arial"/>
    </font>
    <font>
      <b/>
      <sz val="16"/>
      <color theme="1"/>
      <name val="Aptos Display"/>
      <scheme val="major"/>
    </font>
    <font>
      <b/>
      <sz val="11"/>
      <color rgb="FF242424"/>
      <name val="Aptos Narrow"/>
      <charset val="1"/>
    </font>
    <font>
      <b/>
      <sz val="10"/>
      <color theme="1"/>
      <name val="Aptos Display"/>
      <scheme val="major"/>
    </font>
    <font>
      <b/>
      <sz val="10"/>
      <color theme="0"/>
      <name val="Aptos Display"/>
      <scheme val="major"/>
    </font>
    <font>
      <b/>
      <sz val="11"/>
      <color theme="0"/>
      <name val="Aptos Narrow"/>
      <family val="2"/>
      <scheme val="minor"/>
    </font>
    <font>
      <b/>
      <sz val="9"/>
      <color rgb="FFFFFFFF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u/>
      <sz val="13"/>
      <color theme="1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7B100"/>
        <bgColor indexed="64"/>
      </patternFill>
    </fill>
    <fill>
      <patternFill patternType="solid">
        <fgColor rgb="FFFAEFB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1D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/>
      </left>
      <right style="thin">
        <color theme="2" tint="-0.249977111117893"/>
      </right>
      <top style="thin">
        <color theme="2"/>
      </top>
      <bottom style="thin">
        <color theme="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rgb="FF000000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rgb="FF000000"/>
      </bottom>
      <diagonal/>
    </border>
    <border>
      <left style="thin">
        <color theme="2" tint="-0.249977111117893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rgb="FF000000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0.249977111117893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6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14" fontId="2" fillId="5" borderId="6" xfId="0" applyNumberFormat="1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8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4" fontId="7" fillId="6" borderId="1" xfId="0" applyNumberFormat="1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14" fontId="6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/>
    </xf>
    <xf numFmtId="14" fontId="11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1" xfId="0" quotePrefix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14" fontId="12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14" fontId="6" fillId="6" borderId="1" xfId="0" quotePrefix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/>
    </xf>
    <xf numFmtId="14" fontId="6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 wrapText="1"/>
    </xf>
    <xf numFmtId="14" fontId="13" fillId="6" borderId="1" xfId="0" quotePrefix="1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164" fontId="0" fillId="0" borderId="1" xfId="0" quotePrefix="1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/>
    </xf>
    <xf numFmtId="14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1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/>
    <xf numFmtId="0" fontId="6" fillId="0" borderId="5" xfId="0" applyFont="1" applyBorder="1"/>
    <xf numFmtId="0" fontId="0" fillId="0" borderId="3" xfId="0" applyBorder="1"/>
    <xf numFmtId="0" fontId="6" fillId="0" borderId="1" xfId="0" applyFont="1" applyBorder="1" applyAlignment="1">
      <alignment horizontal="center" vertical="center"/>
    </xf>
    <xf numFmtId="0" fontId="15" fillId="7" borderId="7" xfId="1" applyFont="1" applyFill="1" applyBorder="1" applyAlignment="1">
      <alignment vertical="center"/>
    </xf>
    <xf numFmtId="0" fontId="16" fillId="7" borderId="0" xfId="0" applyFont="1" applyFill="1" applyAlignment="1">
      <alignment vertical="center"/>
    </xf>
    <xf numFmtId="0" fontId="16" fillId="7" borderId="7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17" fillId="8" borderId="8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 wrapText="1"/>
    </xf>
    <xf numFmtId="0" fontId="19" fillId="0" borderId="0" xfId="0" applyFont="1"/>
    <xf numFmtId="0" fontId="21" fillId="8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24" fillId="6" borderId="10" xfId="0" applyFont="1" applyFill="1" applyBorder="1" applyAlignment="1">
      <alignment vertical="center"/>
    </xf>
    <xf numFmtId="0" fontId="24" fillId="6" borderId="11" xfId="0" applyFont="1" applyFill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vertical="center"/>
    </xf>
    <xf numFmtId="0" fontId="27" fillId="0" borderId="13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left" vertical="center"/>
    </xf>
    <xf numFmtId="14" fontId="27" fillId="0" borderId="12" xfId="0" applyNumberFormat="1" applyFont="1" applyBorder="1" applyAlignment="1">
      <alignment horizontal="left" vertical="center"/>
    </xf>
    <xf numFmtId="0" fontId="28" fillId="13" borderId="12" xfId="0" applyFont="1" applyFill="1" applyBorder="1" applyAlignment="1">
      <alignment vertical="center"/>
    </xf>
    <xf numFmtId="0" fontId="27" fillId="13" borderId="12" xfId="0" applyFont="1" applyFill="1" applyBorder="1" applyAlignment="1">
      <alignment vertical="center"/>
    </xf>
    <xf numFmtId="0" fontId="27" fillId="13" borderId="12" xfId="0" applyFont="1" applyFill="1" applyBorder="1" applyAlignment="1">
      <alignment horizontal="left" vertical="center"/>
    </xf>
    <xf numFmtId="0" fontId="29" fillId="12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12" xfId="0" applyBorder="1"/>
    <xf numFmtId="0" fontId="0" fillId="13" borderId="12" xfId="0" applyFill="1" applyBorder="1"/>
    <xf numFmtId="0" fontId="30" fillId="6" borderId="12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vertical="center"/>
    </xf>
    <xf numFmtId="0" fontId="28" fillId="13" borderId="10" xfId="0" applyFont="1" applyFill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15" xfId="0" applyFont="1" applyBorder="1" applyAlignment="1">
      <alignment horizontal="left" vertical="center"/>
    </xf>
    <xf numFmtId="0" fontId="27" fillId="13" borderId="16" xfId="0" applyFont="1" applyFill="1" applyBorder="1" applyAlignment="1">
      <alignment horizontal="left" vertical="center"/>
    </xf>
    <xf numFmtId="0" fontId="29" fillId="18" borderId="9" xfId="0" applyFont="1" applyFill="1" applyBorder="1" applyAlignment="1">
      <alignment horizontal="center" vertical="center" wrapText="1"/>
    </xf>
    <xf numFmtId="0" fontId="29" fillId="19" borderId="8" xfId="0" applyFont="1" applyFill="1" applyBorder="1" applyAlignment="1">
      <alignment horizontal="center" vertical="center" wrapText="1"/>
    </xf>
    <xf numFmtId="0" fontId="29" fillId="19" borderId="3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/>
    </xf>
    <xf numFmtId="0" fontId="30" fillId="0" borderId="12" xfId="0" applyFont="1" applyBorder="1" applyAlignment="1">
      <alignment horizontal="center" vertical="center"/>
    </xf>
    <xf numFmtId="0" fontId="30" fillId="10" borderId="12" xfId="0" applyFont="1" applyFill="1" applyBorder="1" applyAlignment="1">
      <alignment horizontal="left" vertical="center"/>
    </xf>
    <xf numFmtId="0" fontId="30" fillId="10" borderId="12" xfId="0" applyFont="1" applyFill="1" applyBorder="1" applyAlignment="1">
      <alignment vertical="center"/>
    </xf>
    <xf numFmtId="0" fontId="30" fillId="0" borderId="12" xfId="0" quotePrefix="1" applyFont="1" applyBorder="1" applyAlignment="1">
      <alignment horizontal="left" vertical="center"/>
    </xf>
    <xf numFmtId="14" fontId="30" fillId="0" borderId="12" xfId="0" applyNumberFormat="1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30" fillId="5" borderId="12" xfId="0" applyFont="1" applyFill="1" applyBorder="1" applyAlignment="1">
      <alignment horizontal="left" vertical="center"/>
    </xf>
    <xf numFmtId="0" fontId="33" fillId="16" borderId="12" xfId="0" applyFont="1" applyFill="1" applyBorder="1" applyAlignment="1">
      <alignment horizontal="left" vertical="center"/>
    </xf>
    <xf numFmtId="0" fontId="33" fillId="16" borderId="12" xfId="0" applyFont="1" applyFill="1" applyBorder="1" applyAlignment="1">
      <alignment horizontal="center" vertical="center" wrapText="1"/>
    </xf>
    <xf numFmtId="14" fontId="33" fillId="16" borderId="12" xfId="0" applyNumberFormat="1" applyFont="1" applyFill="1" applyBorder="1" applyAlignment="1">
      <alignment horizontal="center" vertical="center" wrapText="1"/>
    </xf>
    <xf numFmtId="0" fontId="34" fillId="6" borderId="0" xfId="0" applyFont="1" applyFill="1"/>
    <xf numFmtId="0" fontId="30" fillId="3" borderId="12" xfId="0" applyFont="1" applyFill="1" applyBorder="1" applyAlignment="1">
      <alignment horizontal="left" vertical="center"/>
    </xf>
    <xf numFmtId="0" fontId="30" fillId="3" borderId="12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left" vertical="center"/>
    </xf>
    <xf numFmtId="0" fontId="30" fillId="6" borderId="12" xfId="0" applyFont="1" applyFill="1" applyBorder="1" applyAlignment="1">
      <alignment horizontal="left" vertical="center" wrapText="1"/>
    </xf>
    <xf numFmtId="0" fontId="30" fillId="0" borderId="12" xfId="0" applyFont="1" applyBorder="1" applyAlignment="1">
      <alignment vertical="center"/>
    </xf>
    <xf numFmtId="0" fontId="30" fillId="3" borderId="12" xfId="0" applyFont="1" applyFill="1" applyBorder="1" applyAlignment="1">
      <alignment vertical="center"/>
    </xf>
    <xf numFmtId="0" fontId="30" fillId="0" borderId="13" xfId="0" applyFont="1" applyBorder="1" applyAlignment="1">
      <alignment horizontal="left" vertical="center"/>
    </xf>
    <xf numFmtId="0" fontId="0" fillId="0" borderId="0" xfId="0" pivotButton="1"/>
    <xf numFmtId="0" fontId="30" fillId="13" borderId="12" xfId="0" applyFont="1" applyFill="1" applyBorder="1" applyAlignment="1">
      <alignment vertical="center"/>
    </xf>
    <xf numFmtId="0" fontId="30" fillId="13" borderId="12" xfId="0" applyFont="1" applyFill="1" applyBorder="1" applyAlignment="1">
      <alignment horizontal="left" vertical="center"/>
    </xf>
    <xf numFmtId="3" fontId="30" fillId="0" borderId="12" xfId="0" applyNumberFormat="1" applyFont="1" applyBorder="1" applyAlignment="1">
      <alignment horizontal="center" vertical="center"/>
    </xf>
    <xf numFmtId="3" fontId="30" fillId="10" borderId="12" xfId="0" applyNumberFormat="1" applyFont="1" applyFill="1" applyBorder="1" applyAlignment="1">
      <alignment horizontal="left" vertical="center"/>
    </xf>
    <xf numFmtId="0" fontId="36" fillId="13" borderId="12" xfId="0" applyFont="1" applyFill="1" applyBorder="1" applyAlignment="1">
      <alignment vertical="center"/>
    </xf>
    <xf numFmtId="0" fontId="30" fillId="13" borderId="16" xfId="0" applyFont="1" applyFill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6" fillId="13" borderId="10" xfId="0" applyFont="1" applyFill="1" applyBorder="1" applyAlignment="1">
      <alignment vertical="center"/>
    </xf>
    <xf numFmtId="0" fontId="37" fillId="0" borderId="0" xfId="0" applyFont="1" applyAlignment="1">
      <alignment horizontal="left" vertical="center"/>
    </xf>
    <xf numFmtId="0" fontId="30" fillId="13" borderId="13" xfId="0" applyFont="1" applyFill="1" applyBorder="1" applyAlignment="1">
      <alignment horizontal="left" vertical="center"/>
    </xf>
    <xf numFmtId="0" fontId="30" fillId="0" borderId="12" xfId="0" applyFont="1" applyBorder="1" applyAlignment="1">
      <alignment horizontal="left" vertical="center" wrapText="1"/>
    </xf>
    <xf numFmtId="0" fontId="38" fillId="0" borderId="12" xfId="1" applyFont="1" applyBorder="1" applyAlignment="1">
      <alignment horizontal="left" vertical="center" wrapText="1"/>
    </xf>
    <xf numFmtId="0" fontId="14" fillId="0" borderId="12" xfId="1" applyBorder="1" applyAlignment="1">
      <alignment horizontal="center" vertical="center"/>
    </xf>
    <xf numFmtId="0" fontId="30" fillId="0" borderId="16" xfId="0" quotePrefix="1" applyFont="1" applyBorder="1" applyAlignment="1">
      <alignment horizontal="left" vertical="center"/>
    </xf>
    <xf numFmtId="0" fontId="30" fillId="0" borderId="17" xfId="0" quotePrefix="1" applyFont="1" applyBorder="1" applyAlignment="1">
      <alignment horizontal="left" vertical="center"/>
    </xf>
    <xf numFmtId="0" fontId="30" fillId="0" borderId="13" xfId="0" quotePrefix="1" applyFont="1" applyBorder="1" applyAlignment="1">
      <alignment horizontal="left" vertical="center"/>
    </xf>
    <xf numFmtId="0" fontId="30" fillId="3" borderId="12" xfId="0" applyFont="1" applyFill="1" applyBorder="1"/>
    <xf numFmtId="0" fontId="30" fillId="3" borderId="12" xfId="0" applyFont="1" applyFill="1" applyBorder="1" applyAlignment="1">
      <alignment horizontal="left"/>
    </xf>
    <xf numFmtId="0" fontId="42" fillId="0" borderId="0" xfId="0" applyFont="1" applyAlignment="1">
      <alignment vertical="center"/>
    </xf>
    <xf numFmtId="0" fontId="29" fillId="19" borderId="3" xfId="0" applyFont="1" applyFill="1" applyBorder="1" applyAlignment="1">
      <alignment horizontal="center" vertical="center"/>
    </xf>
    <xf numFmtId="0" fontId="33" fillId="16" borderId="12" xfId="0" applyFont="1" applyFill="1" applyBorder="1" applyAlignment="1">
      <alignment horizontal="center" vertical="center"/>
    </xf>
    <xf numFmtId="0" fontId="30" fillId="13" borderId="12" xfId="0" applyFont="1" applyFill="1" applyBorder="1" applyAlignment="1">
      <alignment horizontal="center" vertical="center"/>
    </xf>
    <xf numFmtId="0" fontId="30" fillId="13" borderId="12" xfId="0" applyFont="1" applyFill="1" applyBorder="1" applyAlignment="1">
      <alignment horizontal="left" vertical="center" wrapText="1"/>
    </xf>
    <xf numFmtId="0" fontId="30" fillId="6" borderId="0" xfId="0" applyFont="1" applyFill="1" applyAlignment="1">
      <alignment vertical="center"/>
    </xf>
    <xf numFmtId="0" fontId="31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44" fillId="0" borderId="12" xfId="0" applyFont="1" applyBorder="1" applyAlignment="1">
      <alignment horizontal="center" vertical="center"/>
    </xf>
    <xf numFmtId="0" fontId="44" fillId="13" borderId="12" xfId="0" applyFont="1" applyFill="1" applyBorder="1" applyAlignment="1">
      <alignment vertical="center"/>
    </xf>
    <xf numFmtId="0" fontId="44" fillId="13" borderId="12" xfId="0" applyFont="1" applyFill="1" applyBorder="1" applyAlignment="1">
      <alignment horizontal="left" vertical="center"/>
    </xf>
    <xf numFmtId="0" fontId="44" fillId="0" borderId="12" xfId="0" applyFont="1" applyBorder="1" applyAlignment="1">
      <alignment horizontal="left" vertical="center"/>
    </xf>
    <xf numFmtId="14" fontId="44" fillId="0" borderId="12" xfId="0" applyNumberFormat="1" applyFont="1" applyBorder="1" applyAlignment="1">
      <alignment horizontal="left" vertical="center"/>
    </xf>
    <xf numFmtId="3" fontId="44" fillId="0" borderId="12" xfId="0" applyNumberFormat="1" applyFont="1" applyBorder="1" applyAlignment="1">
      <alignment horizontal="center" vertical="center"/>
    </xf>
    <xf numFmtId="0" fontId="44" fillId="10" borderId="12" xfId="0" applyFont="1" applyFill="1" applyBorder="1" applyAlignment="1">
      <alignment horizontal="left" vertical="center"/>
    </xf>
    <xf numFmtId="0" fontId="44" fillId="0" borderId="12" xfId="0" quotePrefix="1" applyFont="1" applyBorder="1" applyAlignment="1">
      <alignment horizontal="left" vertical="center"/>
    </xf>
    <xf numFmtId="0" fontId="44" fillId="6" borderId="12" xfId="0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4" fillId="13" borderId="12" xfId="0" quotePrefix="1" applyFont="1" applyFill="1" applyBorder="1" applyAlignment="1">
      <alignment horizontal="left" vertical="center"/>
    </xf>
    <xf numFmtId="0" fontId="44" fillId="0" borderId="16" xfId="0" applyFont="1" applyBorder="1" applyAlignment="1">
      <alignment horizontal="center" vertical="center"/>
    </xf>
    <xf numFmtId="0" fontId="44" fillId="13" borderId="16" xfId="0" applyFont="1" applyFill="1" applyBorder="1" applyAlignment="1">
      <alignment vertical="center"/>
    </xf>
    <xf numFmtId="0" fontId="44" fillId="13" borderId="16" xfId="0" applyFont="1" applyFill="1" applyBorder="1" applyAlignment="1">
      <alignment horizontal="left" vertical="center"/>
    </xf>
    <xf numFmtId="0" fontId="44" fillId="0" borderId="16" xfId="0" applyFont="1" applyBorder="1" applyAlignment="1">
      <alignment horizontal="left" vertical="center"/>
    </xf>
    <xf numFmtId="14" fontId="44" fillId="0" borderId="16" xfId="0" applyNumberFormat="1" applyFont="1" applyBorder="1" applyAlignment="1">
      <alignment horizontal="left" vertical="center"/>
    </xf>
    <xf numFmtId="3" fontId="44" fillId="0" borderId="16" xfId="0" applyNumberFormat="1" applyFont="1" applyBorder="1" applyAlignment="1">
      <alignment horizontal="center" vertical="center"/>
    </xf>
    <xf numFmtId="0" fontId="44" fillId="10" borderId="16" xfId="0" applyFont="1" applyFill="1" applyBorder="1" applyAlignment="1">
      <alignment horizontal="left" vertical="center"/>
    </xf>
    <xf numFmtId="0" fontId="44" fillId="10" borderId="15" xfId="0" applyFont="1" applyFill="1" applyBorder="1" applyAlignment="1">
      <alignment horizontal="left" vertical="center"/>
    </xf>
    <xf numFmtId="0" fontId="44" fillId="10" borderId="19" xfId="0" applyFont="1" applyFill="1" applyBorder="1" applyAlignment="1">
      <alignment horizontal="left" vertical="center"/>
    </xf>
    <xf numFmtId="0" fontId="44" fillId="0" borderId="16" xfId="0" quotePrefix="1" applyFont="1" applyBorder="1" applyAlignment="1">
      <alignment horizontal="left" vertical="center"/>
    </xf>
    <xf numFmtId="0" fontId="44" fillId="6" borderId="16" xfId="0" applyFont="1" applyFill="1" applyBorder="1" applyAlignment="1">
      <alignment horizontal="left" vertical="center"/>
    </xf>
    <xf numFmtId="0" fontId="44" fillId="13" borderId="22" xfId="0" applyFont="1" applyFill="1" applyBorder="1" applyAlignment="1">
      <alignment horizontal="left" vertical="center"/>
    </xf>
    <xf numFmtId="0" fontId="44" fillId="10" borderId="20" xfId="0" applyFont="1" applyFill="1" applyBorder="1" applyAlignment="1">
      <alignment horizontal="left" vertical="center"/>
    </xf>
    <xf numFmtId="0" fontId="44" fillId="0" borderId="18" xfId="0" quotePrefix="1" applyFont="1" applyBorder="1" applyAlignment="1">
      <alignment horizontal="left" vertical="center"/>
    </xf>
    <xf numFmtId="0" fontId="44" fillId="0" borderId="18" xfId="0" applyFont="1" applyBorder="1" applyAlignment="1">
      <alignment horizontal="left" vertical="center"/>
    </xf>
    <xf numFmtId="0" fontId="44" fillId="6" borderId="18" xfId="0" applyFont="1" applyFill="1" applyBorder="1" applyAlignment="1">
      <alignment horizontal="left" vertical="center"/>
    </xf>
    <xf numFmtId="0" fontId="44" fillId="13" borderId="12" xfId="0" applyFont="1" applyFill="1" applyBorder="1" applyAlignment="1">
      <alignment vertical="center" wrapText="1"/>
    </xf>
    <xf numFmtId="0" fontId="44" fillId="0" borderId="23" xfId="0" applyFont="1" applyBorder="1" applyAlignment="1">
      <alignment horizontal="left" vertical="center"/>
    </xf>
    <xf numFmtId="0" fontId="44" fillId="6" borderId="19" xfId="0" applyFont="1" applyFill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6" borderId="15" xfId="0" applyFont="1" applyFill="1" applyBorder="1" applyAlignment="1">
      <alignment horizontal="left" vertical="center"/>
    </xf>
    <xf numFmtId="0" fontId="14" fillId="0" borderId="0" xfId="1" applyAlignment="1">
      <alignment vertical="center"/>
    </xf>
    <xf numFmtId="14" fontId="30" fillId="3" borderId="12" xfId="0" applyNumberFormat="1" applyFont="1" applyFill="1" applyBorder="1" applyAlignment="1">
      <alignment horizontal="left" vertical="center"/>
    </xf>
    <xf numFmtId="0" fontId="30" fillId="3" borderId="12" xfId="0" applyFont="1" applyFill="1" applyBorder="1" applyAlignment="1">
      <alignment horizontal="left" vertical="center" wrapText="1"/>
    </xf>
    <xf numFmtId="0" fontId="30" fillId="3" borderId="12" xfId="0" applyFont="1" applyFill="1" applyBorder="1" applyAlignment="1">
      <alignment vertical="center" wrapText="1"/>
    </xf>
    <xf numFmtId="14" fontId="30" fillId="6" borderId="12" xfId="0" applyNumberFormat="1" applyFont="1" applyFill="1" applyBorder="1" applyAlignment="1">
      <alignment horizontal="left" vertical="center"/>
    </xf>
    <xf numFmtId="167" fontId="27" fillId="0" borderId="12" xfId="0" applyNumberFormat="1" applyFont="1" applyBorder="1" applyAlignment="1">
      <alignment horizontal="left" vertical="center"/>
    </xf>
    <xf numFmtId="0" fontId="27" fillId="13" borderId="15" xfId="0" applyFont="1" applyFill="1" applyBorder="1" applyAlignment="1">
      <alignment horizontal="left" vertical="center"/>
    </xf>
    <xf numFmtId="0" fontId="27" fillId="13" borderId="13" xfId="0" applyFont="1" applyFill="1" applyBorder="1" applyAlignment="1">
      <alignment vertical="center"/>
    </xf>
    <xf numFmtId="0" fontId="30" fillId="0" borderId="12" xfId="0" quotePrefix="1" applyFont="1" applyBorder="1" applyAlignment="1">
      <alignment horizontal="left" vertical="center" wrapText="1"/>
    </xf>
    <xf numFmtId="0" fontId="30" fillId="3" borderId="12" xfId="0" quotePrefix="1" applyFont="1" applyFill="1" applyBorder="1" applyAlignment="1">
      <alignment horizontal="left" vertical="center" wrapText="1"/>
    </xf>
    <xf numFmtId="0" fontId="25" fillId="17" borderId="0" xfId="0" applyFont="1" applyFill="1" applyAlignment="1">
      <alignment horizontal="left" vertical="center" wrapText="1"/>
    </xf>
    <xf numFmtId="0" fontId="28" fillId="6" borderId="12" xfId="0" applyFont="1" applyFill="1" applyBorder="1" applyAlignment="1">
      <alignment vertical="center"/>
    </xf>
    <xf numFmtId="0" fontId="27" fillId="6" borderId="12" xfId="0" applyFont="1" applyFill="1" applyBorder="1" applyAlignment="1">
      <alignment vertical="center"/>
    </xf>
    <xf numFmtId="0" fontId="27" fillId="6" borderId="12" xfId="0" applyFont="1" applyFill="1" applyBorder="1" applyAlignment="1">
      <alignment horizontal="left" vertical="center"/>
    </xf>
    <xf numFmtId="0" fontId="27" fillId="6" borderId="16" xfId="0" applyFont="1" applyFill="1" applyBorder="1" applyAlignment="1">
      <alignment horizontal="left" vertical="center"/>
    </xf>
    <xf numFmtId="0" fontId="27" fillId="6" borderId="16" xfId="0" applyFont="1" applyFill="1" applyBorder="1" applyAlignment="1">
      <alignment vertical="center"/>
    </xf>
    <xf numFmtId="0" fontId="28" fillId="6" borderId="10" xfId="0" applyFont="1" applyFill="1" applyBorder="1" applyAlignment="1">
      <alignment vertical="center"/>
    </xf>
    <xf numFmtId="0" fontId="27" fillId="6" borderId="15" xfId="0" applyFont="1" applyFill="1" applyBorder="1" applyAlignment="1">
      <alignment horizontal="left" vertical="center"/>
    </xf>
    <xf numFmtId="0" fontId="27" fillId="6" borderId="24" xfId="0" applyFont="1" applyFill="1" applyBorder="1"/>
    <xf numFmtId="0" fontId="27" fillId="6" borderId="12" xfId="0" applyFont="1" applyFill="1" applyBorder="1"/>
    <xf numFmtId="0" fontId="27" fillId="6" borderId="13" xfId="0" applyFont="1" applyFill="1" applyBorder="1"/>
    <xf numFmtId="0" fontId="0" fillId="0" borderId="26" xfId="0" applyBorder="1" applyAlignment="1">
      <alignment vertical="center"/>
    </xf>
    <xf numFmtId="0" fontId="27" fillId="10" borderId="20" xfId="0" applyFont="1" applyFill="1" applyBorder="1" applyAlignment="1">
      <alignment vertical="center"/>
    </xf>
    <xf numFmtId="0" fontId="27" fillId="10" borderId="18" xfId="0" applyFont="1" applyFill="1" applyBorder="1" applyAlignment="1">
      <alignment vertical="center"/>
    </xf>
    <xf numFmtId="0" fontId="29" fillId="3" borderId="12" xfId="0" applyFont="1" applyFill="1" applyBorder="1" applyAlignment="1">
      <alignment horizontal="left" vertical="center" wrapText="1"/>
    </xf>
    <xf numFmtId="0" fontId="30" fillId="6" borderId="12" xfId="0" quotePrefix="1" applyFont="1" applyFill="1" applyBorder="1" applyAlignment="1">
      <alignment horizontal="left" vertical="center" wrapText="1"/>
    </xf>
    <xf numFmtId="0" fontId="35" fillId="16" borderId="12" xfId="0" applyFont="1" applyFill="1" applyBorder="1" applyAlignment="1">
      <alignment horizontal="left" vertical="center"/>
    </xf>
    <xf numFmtId="0" fontId="35" fillId="16" borderId="12" xfId="0" applyFont="1" applyFill="1" applyBorder="1" applyAlignment="1">
      <alignment horizontal="center" vertical="center" wrapText="1"/>
    </xf>
    <xf numFmtId="14" fontId="35" fillId="16" borderId="12" xfId="0" applyNumberFormat="1" applyFont="1" applyFill="1" applyBorder="1" applyAlignment="1">
      <alignment horizontal="center" vertical="center" wrapText="1"/>
    </xf>
    <xf numFmtId="0" fontId="35" fillId="16" borderId="12" xfId="0" applyFont="1" applyFill="1" applyBorder="1" applyAlignment="1">
      <alignment horizontal="center" vertical="center"/>
    </xf>
    <xf numFmtId="0" fontId="29" fillId="6" borderId="12" xfId="0" applyFont="1" applyFill="1" applyBorder="1" applyAlignment="1">
      <alignment horizontal="left" vertical="center" wrapText="1"/>
    </xf>
    <xf numFmtId="0" fontId="49" fillId="17" borderId="27" xfId="0" applyFont="1" applyFill="1" applyBorder="1" applyAlignment="1">
      <alignment vertical="center" wrapText="1"/>
    </xf>
    <xf numFmtId="0" fontId="49" fillId="17" borderId="27" xfId="0" applyFont="1" applyFill="1" applyBorder="1" applyAlignment="1">
      <alignment horizontal="center" vertical="center"/>
    </xf>
    <xf numFmtId="0" fontId="49" fillId="17" borderId="28" xfId="0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52" fillId="21" borderId="29" xfId="0" applyFont="1" applyFill="1" applyBorder="1" applyAlignment="1">
      <alignment vertical="center"/>
    </xf>
    <xf numFmtId="0" fontId="52" fillId="21" borderId="0" xfId="0" applyFont="1" applyFill="1" applyAlignment="1">
      <alignment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center" vertical="center" wrapText="1"/>
    </xf>
    <xf numFmtId="0" fontId="22" fillId="22" borderId="5" xfId="0" applyFont="1" applyFill="1" applyBorder="1" applyAlignment="1">
      <alignment horizontal="center" vertical="center" wrapText="1"/>
    </xf>
    <xf numFmtId="0" fontId="51" fillId="17" borderId="29" xfId="0" applyFont="1" applyFill="1" applyBorder="1" applyAlignment="1">
      <alignment horizontal="center" vertical="center" wrapText="1"/>
    </xf>
    <xf numFmtId="0" fontId="51" fillId="17" borderId="0" xfId="0" applyFont="1" applyFill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wrapText="1"/>
    </xf>
    <xf numFmtId="0" fontId="33" fillId="18" borderId="32" xfId="0" applyFont="1" applyFill="1" applyBorder="1" applyAlignment="1">
      <alignment horizontal="left" vertical="center"/>
    </xf>
    <xf numFmtId="0" fontId="33" fillId="18" borderId="33" xfId="0" applyFont="1" applyFill="1" applyBorder="1" applyAlignment="1">
      <alignment horizontal="center" vertical="center" wrapText="1"/>
    </xf>
    <xf numFmtId="0" fontId="33" fillId="18" borderId="33" xfId="0" applyFont="1" applyFill="1" applyBorder="1" applyAlignment="1">
      <alignment horizontal="center" vertical="center"/>
    </xf>
    <xf numFmtId="0" fontId="33" fillId="18" borderId="0" xfId="0" applyFont="1" applyFill="1" applyAlignment="1">
      <alignment horizontal="center" vertical="center"/>
    </xf>
    <xf numFmtId="0" fontId="34" fillId="6" borderId="34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vertical="center"/>
    </xf>
    <xf numFmtId="0" fontId="34" fillId="0" borderId="35" xfId="0" applyFont="1" applyBorder="1" applyAlignment="1">
      <alignment vertical="center"/>
    </xf>
    <xf numFmtId="0" fontId="34" fillId="0" borderId="35" xfId="0" quotePrefix="1" applyFont="1" applyBorder="1" applyAlignment="1">
      <alignment vertical="center" wrapText="1"/>
    </xf>
    <xf numFmtId="0" fontId="34" fillId="3" borderId="35" xfId="0" applyFont="1" applyFill="1" applyBorder="1" applyAlignment="1">
      <alignment horizontal="center" vertical="center"/>
    </xf>
    <xf numFmtId="0" fontId="34" fillId="23" borderId="35" xfId="0" applyFont="1" applyFill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34" fillId="6" borderId="15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4" fillId="3" borderId="10" xfId="0" applyFont="1" applyFill="1" applyBorder="1" applyAlignment="1">
      <alignment horizontal="center" vertical="center"/>
    </xf>
    <xf numFmtId="0" fontId="34" fillId="12" borderId="35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14" borderId="10" xfId="0" applyFont="1" applyFill="1" applyBorder="1" applyAlignment="1">
      <alignment horizontal="center" vertical="center"/>
    </xf>
    <xf numFmtId="0" fontId="34" fillId="12" borderId="10" xfId="0" applyFont="1" applyFill="1" applyBorder="1" applyAlignment="1">
      <alignment horizontal="center" vertical="center"/>
    </xf>
    <xf numFmtId="0" fontId="34" fillId="24" borderId="10" xfId="0" applyFont="1" applyFill="1" applyBorder="1" applyAlignment="1">
      <alignment horizontal="center" vertical="center"/>
    </xf>
    <xf numFmtId="0" fontId="34" fillId="0" borderId="12" xfId="0" applyFont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54" fillId="0" borderId="12" xfId="0" applyFont="1" applyBorder="1" applyAlignment="1">
      <alignment vertical="center"/>
    </xf>
    <xf numFmtId="0" fontId="54" fillId="0" borderId="0" xfId="0" applyFont="1" applyAlignment="1">
      <alignment vertical="center"/>
    </xf>
    <xf numFmtId="0" fontId="34" fillId="6" borderId="12" xfId="0" applyFont="1" applyFill="1" applyBorder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34" fillId="6" borderId="33" xfId="0" applyFont="1" applyFill="1" applyBorder="1" applyAlignment="1">
      <alignment vertical="center"/>
    </xf>
    <xf numFmtId="3" fontId="48" fillId="0" borderId="0" xfId="0" applyNumberFormat="1" applyFont="1" applyAlignment="1">
      <alignment vertical="center"/>
    </xf>
    <xf numFmtId="0" fontId="34" fillId="25" borderId="15" xfId="0" applyFont="1" applyFill="1" applyBorder="1" applyAlignment="1">
      <alignment horizontal="center" vertical="center"/>
    </xf>
    <xf numFmtId="0" fontId="34" fillId="25" borderId="12" xfId="0" applyFont="1" applyFill="1" applyBorder="1" applyAlignment="1">
      <alignment vertical="center"/>
    </xf>
    <xf numFmtId="0" fontId="34" fillId="0" borderId="36" xfId="0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4" fillId="5" borderId="12" xfId="0" applyFont="1" applyFill="1" applyBorder="1" applyAlignment="1">
      <alignment vertical="center"/>
    </xf>
    <xf numFmtId="0" fontId="34" fillId="0" borderId="13" xfId="0" applyFont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/>
    </xf>
    <xf numFmtId="0" fontId="34" fillId="4" borderId="12" xfId="0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14" borderId="12" xfId="0" applyFont="1" applyFill="1" applyBorder="1" applyAlignment="1">
      <alignment horizontal="center" vertical="center"/>
    </xf>
    <xf numFmtId="0" fontId="34" fillId="26" borderId="12" xfId="0" applyFont="1" applyFill="1" applyBorder="1" applyAlignment="1">
      <alignment vertical="center"/>
    </xf>
    <xf numFmtId="0" fontId="34" fillId="27" borderId="10" xfId="0" applyFont="1" applyFill="1" applyBorder="1" applyAlignment="1">
      <alignment horizontal="center" vertical="center"/>
    </xf>
    <xf numFmtId="0" fontId="34" fillId="18" borderId="0" xfId="0" applyFont="1" applyFill="1" applyAlignment="1">
      <alignment vertical="center"/>
    </xf>
    <xf numFmtId="0" fontId="34" fillId="18" borderId="12" xfId="0" applyFont="1" applyFill="1" applyBorder="1" applyAlignment="1">
      <alignment vertical="center"/>
    </xf>
    <xf numFmtId="0" fontId="34" fillId="18" borderId="12" xfId="0" applyFont="1" applyFill="1" applyBorder="1" applyAlignment="1">
      <alignment horizontal="center" vertical="center"/>
    </xf>
    <xf numFmtId="0" fontId="34" fillId="18" borderId="10" xfId="0" applyFont="1" applyFill="1" applyBorder="1" applyAlignment="1">
      <alignment horizontal="center" vertical="center"/>
    </xf>
    <xf numFmtId="0" fontId="55" fillId="25" borderId="15" xfId="0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/>
    </xf>
    <xf numFmtId="0" fontId="34" fillId="25" borderId="33" xfId="0" applyFont="1" applyFill="1" applyBorder="1" applyAlignment="1">
      <alignment horizontal="center" vertical="center"/>
    </xf>
    <xf numFmtId="0" fontId="34" fillId="25" borderId="33" xfId="0" applyFont="1" applyFill="1" applyBorder="1" applyAlignment="1">
      <alignment vertical="center"/>
    </xf>
    <xf numFmtId="0" fontId="34" fillId="9" borderId="10" xfId="0" applyFont="1" applyFill="1" applyBorder="1" applyAlignment="1">
      <alignment horizontal="center" vertical="center" wrapText="1"/>
    </xf>
    <xf numFmtId="0" fontId="34" fillId="25" borderId="10" xfId="0" applyFont="1" applyFill="1" applyBorder="1" applyAlignment="1">
      <alignment vertical="center"/>
    </xf>
    <xf numFmtId="0" fontId="34" fillId="25" borderId="15" xfId="0" applyFont="1" applyFill="1" applyBorder="1" applyAlignment="1">
      <alignment vertical="center"/>
    </xf>
    <xf numFmtId="0" fontId="48" fillId="0" borderId="12" xfId="0" applyFont="1" applyBorder="1" applyAlignment="1">
      <alignment vertical="center" wrapText="1"/>
    </xf>
    <xf numFmtId="0" fontId="34" fillId="6" borderId="37" xfId="0" applyFont="1" applyFill="1" applyBorder="1" applyAlignment="1">
      <alignment horizontal="center" vertical="center"/>
    </xf>
    <xf numFmtId="0" fontId="34" fillId="6" borderId="38" xfId="0" applyFont="1" applyFill="1" applyBorder="1" applyAlignment="1">
      <alignment vertical="center"/>
    </xf>
    <xf numFmtId="0" fontId="34" fillId="3" borderId="39" xfId="0" applyFont="1" applyFill="1" applyBorder="1" applyAlignment="1">
      <alignment horizontal="center" vertical="center"/>
    </xf>
    <xf numFmtId="0" fontId="34" fillId="6" borderId="38" xfId="0" applyFont="1" applyFill="1" applyBorder="1" applyAlignment="1">
      <alignment horizontal="center" vertical="center"/>
    </xf>
    <xf numFmtId="0" fontId="34" fillId="6" borderId="39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4" fillId="5" borderId="10" xfId="0" applyFont="1" applyFill="1" applyBorder="1" applyAlignment="1">
      <alignment horizontal="center" vertical="center"/>
    </xf>
    <xf numFmtId="0" fontId="34" fillId="5" borderId="35" xfId="0" applyFont="1" applyFill="1" applyBorder="1" applyAlignment="1">
      <alignment horizontal="center" vertical="center"/>
    </xf>
    <xf numFmtId="0" fontId="19" fillId="6" borderId="0" xfId="0" applyFont="1" applyFill="1"/>
    <xf numFmtId="0" fontId="5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5" fillId="6" borderId="15" xfId="0" applyFont="1" applyFill="1" applyBorder="1" applyAlignment="1">
      <alignment vertical="center" wrapText="1"/>
    </xf>
    <xf numFmtId="0" fontId="25" fillId="17" borderId="41" xfId="0" applyFont="1" applyFill="1" applyBorder="1" applyAlignment="1">
      <alignment vertical="center" wrapText="1"/>
    </xf>
    <xf numFmtId="0" fontId="25" fillId="6" borderId="41" xfId="0" applyFont="1" applyFill="1" applyBorder="1" applyAlignment="1">
      <alignment vertical="center" wrapText="1"/>
    </xf>
    <xf numFmtId="0" fontId="50" fillId="6" borderId="0" xfId="0" applyFont="1" applyFill="1" applyAlignment="1">
      <alignment horizontal="left" vertical="center"/>
    </xf>
    <xf numFmtId="0" fontId="50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0" xfId="0" applyFont="1" applyFill="1" applyAlignment="1">
      <alignment vertical="center" wrapText="1"/>
    </xf>
    <xf numFmtId="0" fontId="57" fillId="6" borderId="0" xfId="0" applyFont="1" applyFill="1" applyAlignment="1">
      <alignment horizontal="left" vertical="center"/>
    </xf>
    <xf numFmtId="0" fontId="24" fillId="6" borderId="0" xfId="0" applyFont="1" applyFill="1" applyAlignment="1">
      <alignment horizontal="center" vertical="center"/>
    </xf>
    <xf numFmtId="0" fontId="58" fillId="6" borderId="0" xfId="0" applyFont="1" applyFill="1" applyAlignment="1">
      <alignment vertical="center"/>
    </xf>
    <xf numFmtId="0" fontId="58" fillId="6" borderId="0" xfId="0" applyFont="1" applyFill="1" applyAlignment="1">
      <alignment vertical="center" wrapText="1"/>
    </xf>
    <xf numFmtId="0" fontId="19" fillId="6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7" fillId="6" borderId="15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7" fillId="6" borderId="12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12" xfId="0" applyFont="1" applyBorder="1"/>
    <xf numFmtId="0" fontId="6" fillId="0" borderId="12" xfId="1" applyFont="1" applyBorder="1" applyAlignment="1">
      <alignment vertical="center"/>
    </xf>
    <xf numFmtId="0" fontId="6" fillId="8" borderId="0" xfId="0" applyFont="1" applyFill="1" applyAlignment="1">
      <alignment horizontal="center"/>
    </xf>
    <xf numFmtId="0" fontId="6" fillId="8" borderId="0" xfId="0" applyFont="1" applyFill="1"/>
    <xf numFmtId="0" fontId="6" fillId="0" borderId="12" xfId="0" applyFont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2" xfId="0" applyFont="1" applyFill="1" applyBorder="1"/>
    <xf numFmtId="0" fontId="6" fillId="27" borderId="12" xfId="0" applyFont="1" applyFill="1" applyBorder="1"/>
    <xf numFmtId="0" fontId="6" fillId="0" borderId="10" xfId="0" applyFont="1" applyBorder="1"/>
    <xf numFmtId="0" fontId="19" fillId="0" borderId="12" xfId="0" applyFont="1" applyBorder="1"/>
    <xf numFmtId="14" fontId="6" fillId="0" borderId="12" xfId="0" applyNumberFormat="1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/>
    </xf>
    <xf numFmtId="14" fontId="19" fillId="0" borderId="12" xfId="0" applyNumberFormat="1" applyFont="1" applyBorder="1"/>
    <xf numFmtId="14" fontId="19" fillId="0" borderId="0" xfId="0" applyNumberFormat="1" applyFont="1"/>
    <xf numFmtId="0" fontId="6" fillId="0" borderId="10" xfId="0" applyFont="1" applyBorder="1" applyAlignment="1">
      <alignment vertical="center"/>
    </xf>
    <xf numFmtId="14" fontId="6" fillId="0" borderId="12" xfId="0" applyNumberFormat="1" applyFont="1" applyBorder="1" applyAlignment="1">
      <alignment vertical="center"/>
    </xf>
    <xf numFmtId="0" fontId="14" fillId="0" borderId="12" xfId="1" applyBorder="1"/>
    <xf numFmtId="14" fontId="6" fillId="0" borderId="10" xfId="0" applyNumberFormat="1" applyFont="1" applyBorder="1"/>
    <xf numFmtId="14" fontId="6" fillId="0" borderId="10" xfId="0" applyNumberFormat="1" applyFont="1" applyBorder="1" applyAlignment="1">
      <alignment horizontal="center" vertical="center"/>
    </xf>
    <xf numFmtId="0" fontId="25" fillId="17" borderId="0" xfId="0" applyFont="1" applyFill="1" applyAlignment="1">
      <alignment vertical="center" wrapText="1"/>
    </xf>
    <xf numFmtId="0" fontId="59" fillId="6" borderId="0" xfId="0" applyFont="1" applyFill="1" applyAlignment="1">
      <alignment horizontal="left" vertical="center"/>
    </xf>
    <xf numFmtId="14" fontId="58" fillId="6" borderId="0" xfId="0" applyNumberFormat="1" applyFont="1" applyFill="1" applyAlignment="1">
      <alignment horizontal="center" vertical="center" wrapText="1"/>
    </xf>
    <xf numFmtId="0" fontId="58" fillId="6" borderId="0" xfId="0" applyFont="1" applyFill="1" applyAlignment="1">
      <alignment horizontal="center" vertical="center" wrapText="1"/>
    </xf>
    <xf numFmtId="14" fontId="58" fillId="6" borderId="0" xfId="0" applyNumberFormat="1" applyFont="1" applyFill="1" applyAlignment="1">
      <alignment horizontal="center" vertical="center"/>
    </xf>
    <xf numFmtId="0" fontId="58" fillId="6" borderId="0" xfId="0" applyFont="1" applyFill="1" applyAlignment="1">
      <alignment horizontal="center" vertical="center"/>
    </xf>
    <xf numFmtId="0" fontId="27" fillId="0" borderId="13" xfId="0" applyFont="1" applyBorder="1" applyAlignment="1">
      <alignment horizontal="center"/>
    </xf>
    <xf numFmtId="0" fontId="60" fillId="0" borderId="12" xfId="1" applyFont="1" applyBorder="1" applyAlignment="1">
      <alignment vertical="center"/>
    </xf>
    <xf numFmtId="0" fontId="14" fillId="0" borderId="12" xfId="1" applyBorder="1" applyAlignment="1">
      <alignment vertical="center"/>
    </xf>
    <xf numFmtId="0" fontId="14" fillId="6" borderId="13" xfId="1" applyFill="1" applyBorder="1" applyAlignment="1">
      <alignment vertical="center"/>
    </xf>
    <xf numFmtId="0" fontId="14" fillId="0" borderId="47" xfId="1" applyBorder="1" applyAlignment="1">
      <alignment vertical="center"/>
    </xf>
    <xf numFmtId="0" fontId="60" fillId="0" borderId="49" xfId="1" applyFont="1" applyBorder="1" applyAlignment="1">
      <alignment vertical="center"/>
    </xf>
    <xf numFmtId="49" fontId="27" fillId="0" borderId="50" xfId="0" applyNumberFormat="1" applyFont="1" applyBorder="1"/>
    <xf numFmtId="49" fontId="60" fillId="0" borderId="50" xfId="1" applyNumberFormat="1" applyFont="1" applyBorder="1"/>
    <xf numFmtId="0" fontId="60" fillId="0" borderId="0" xfId="1" applyFont="1" applyAlignment="1">
      <alignment vertical="center"/>
    </xf>
    <xf numFmtId="0" fontId="60" fillId="6" borderId="12" xfId="1" applyFont="1" applyFill="1" applyBorder="1" applyAlignment="1">
      <alignment vertical="center"/>
    </xf>
    <xf numFmtId="0" fontId="60" fillId="6" borderId="33" xfId="1" applyFont="1" applyFill="1" applyBorder="1" applyAlignment="1">
      <alignment vertical="center"/>
    </xf>
    <xf numFmtId="0" fontId="27" fillId="0" borderId="12" xfId="0" applyFont="1" applyBorder="1" applyAlignment="1">
      <alignment horizontal="center"/>
    </xf>
    <xf numFmtId="0" fontId="14" fillId="6" borderId="12" xfId="1" applyFill="1" applyBorder="1" applyAlignment="1">
      <alignment vertical="center"/>
    </xf>
    <xf numFmtId="0" fontId="61" fillId="0" borderId="12" xfId="1" applyFont="1" applyBorder="1" applyAlignment="1">
      <alignment vertical="center"/>
    </xf>
    <xf numFmtId="14" fontId="19" fillId="0" borderId="0" xfId="0" applyNumberFormat="1" applyFont="1" applyAlignment="1">
      <alignment horizontal="center"/>
    </xf>
    <xf numFmtId="0" fontId="44" fillId="0" borderId="53" xfId="0" applyFont="1" applyBorder="1" applyAlignment="1">
      <alignment horizontal="left" vertical="center"/>
    </xf>
    <xf numFmtId="0" fontId="45" fillId="0" borderId="18" xfId="0" quotePrefix="1" applyFont="1" applyBorder="1"/>
    <xf numFmtId="14" fontId="25" fillId="17" borderId="41" xfId="0" applyNumberFormat="1" applyFont="1" applyFill="1" applyBorder="1" applyAlignment="1">
      <alignment horizontal="left" vertical="center" wrapText="1"/>
    </xf>
    <xf numFmtId="14" fontId="19" fillId="6" borderId="0" xfId="0" applyNumberFormat="1" applyFont="1" applyFill="1" applyAlignment="1">
      <alignment vertical="center" wrapText="1"/>
    </xf>
    <xf numFmtId="14" fontId="2" fillId="18" borderId="0" xfId="0" applyNumberFormat="1" applyFont="1" applyFill="1" applyAlignment="1">
      <alignment horizontal="center" vertical="center" wrapText="1"/>
    </xf>
    <xf numFmtId="14" fontId="6" fillId="0" borderId="12" xfId="0" applyNumberFormat="1" applyFont="1" applyBorder="1"/>
    <xf numFmtId="14" fontId="6" fillId="0" borderId="12" xfId="1" applyNumberFormat="1" applyFont="1" applyBorder="1" applyAlignment="1">
      <alignment vertical="center"/>
    </xf>
    <xf numFmtId="14" fontId="6" fillId="8" borderId="0" xfId="0" applyNumberFormat="1" applyFont="1" applyFill="1"/>
    <xf numFmtId="14" fontId="6" fillId="0" borderId="10" xfId="0" applyNumberFormat="1" applyFont="1" applyBorder="1" applyAlignment="1">
      <alignment vertical="center"/>
    </xf>
    <xf numFmtId="0" fontId="47" fillId="0" borderId="18" xfId="0" applyFont="1" applyBorder="1" applyAlignment="1">
      <alignment horizontal="left"/>
    </xf>
    <xf numFmtId="0" fontId="44" fillId="0" borderId="20" xfId="0" applyFont="1" applyBorder="1" applyAlignment="1">
      <alignment horizontal="left" vertical="center"/>
    </xf>
    <xf numFmtId="0" fontId="44" fillId="0" borderId="20" xfId="0" applyFont="1" applyBorder="1" applyAlignment="1">
      <alignment vertical="center"/>
    </xf>
    <xf numFmtId="0" fontId="46" fillId="0" borderId="26" xfId="0" applyFont="1" applyBorder="1" applyAlignment="1">
      <alignment horizontal="left" vertical="center"/>
    </xf>
    <xf numFmtId="0" fontId="44" fillId="6" borderId="54" xfId="0" applyFont="1" applyFill="1" applyBorder="1" applyAlignment="1">
      <alignment horizontal="left" vertical="center"/>
    </xf>
    <xf numFmtId="14" fontId="25" fillId="17" borderId="41" xfId="0" applyNumberFormat="1" applyFont="1" applyFill="1" applyBorder="1" applyAlignment="1">
      <alignment horizontal="center" vertical="center" wrapText="1"/>
    </xf>
    <xf numFmtId="14" fontId="19" fillId="6" borderId="0" xfId="0" applyNumberFormat="1" applyFont="1" applyFill="1" applyAlignment="1">
      <alignment horizontal="center" vertical="center" wrapText="1"/>
    </xf>
    <xf numFmtId="14" fontId="6" fillId="8" borderId="0" xfId="0" applyNumberFormat="1" applyFont="1" applyFill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0" fontId="50" fillId="0" borderId="29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50" fillId="0" borderId="30" xfId="0" applyFont="1" applyBorder="1" applyAlignment="1">
      <alignment vertical="center"/>
    </xf>
    <xf numFmtId="166" fontId="27" fillId="0" borderId="12" xfId="0" applyNumberFormat="1" applyFont="1" applyBorder="1" applyAlignment="1">
      <alignment horizontal="left" vertical="center"/>
    </xf>
    <xf numFmtId="0" fontId="14" fillId="6" borderId="12" xfId="1" applyFill="1" applyBorder="1" applyAlignment="1">
      <alignment horizontal="center" vertical="center" wrapText="1"/>
    </xf>
    <xf numFmtId="14" fontId="30" fillId="6" borderId="12" xfId="0" applyNumberFormat="1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30" fillId="6" borderId="12" xfId="0" applyFont="1" applyFill="1" applyBorder="1" applyAlignment="1">
      <alignment horizontal="left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30" fillId="6" borderId="12" xfId="0" applyFont="1" applyFill="1" applyBorder="1"/>
    <xf numFmtId="0" fontId="27" fillId="10" borderId="12" xfId="0" applyFont="1" applyFill="1" applyBorder="1" applyAlignment="1">
      <alignment vertical="center"/>
    </xf>
    <xf numFmtId="0" fontId="27" fillId="10" borderId="26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 wrapText="1"/>
    </xf>
    <xf numFmtId="0" fontId="30" fillId="0" borderId="16" xfId="0" applyFont="1" applyBorder="1" applyAlignment="1">
      <alignment horizontal="left" vertical="center"/>
    </xf>
    <xf numFmtId="0" fontId="44" fillId="0" borderId="13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" fillId="18" borderId="12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30" fillId="3" borderId="16" xfId="0" applyFont="1" applyFill="1" applyBorder="1" applyAlignment="1">
      <alignment horizontal="left" vertical="center"/>
    </xf>
    <xf numFmtId="0" fontId="30" fillId="5" borderId="16" xfId="0" applyFont="1" applyFill="1" applyBorder="1" applyAlignment="1">
      <alignment horizontal="left" vertical="center"/>
    </xf>
    <xf numFmtId="0" fontId="44" fillId="3" borderId="12" xfId="0" applyFont="1" applyFill="1" applyBorder="1" applyAlignment="1">
      <alignment vertical="center" wrapText="1"/>
    </xf>
    <xf numFmtId="0" fontId="44" fillId="3" borderId="12" xfId="0" applyFont="1" applyFill="1" applyBorder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5" borderId="12" xfId="0" applyFont="1" applyFill="1" applyBorder="1" applyAlignment="1">
      <alignment vertical="center"/>
    </xf>
    <xf numFmtId="14" fontId="6" fillId="5" borderId="12" xfId="0" applyNumberFormat="1" applyFont="1" applyFill="1" applyBorder="1" applyAlignment="1">
      <alignment vertical="center"/>
    </xf>
    <xf numFmtId="14" fontId="11" fillId="6" borderId="12" xfId="0" applyNumberFormat="1" applyFont="1" applyFill="1" applyBorder="1" applyAlignment="1">
      <alignment horizontal="left" vertical="center" wrapText="1"/>
    </xf>
    <xf numFmtId="0" fontId="29" fillId="3" borderId="10" xfId="0" applyFont="1" applyFill="1" applyBorder="1" applyAlignment="1">
      <alignment horizontal="left" vertical="center" wrapText="1"/>
    </xf>
    <xf numFmtId="0" fontId="29" fillId="3" borderId="11" xfId="0" applyFont="1" applyFill="1" applyBorder="1" applyAlignment="1">
      <alignment horizontal="left" vertical="center" wrapText="1"/>
    </xf>
    <xf numFmtId="0" fontId="29" fillId="3" borderId="15" xfId="0" applyFont="1" applyFill="1" applyBorder="1" applyAlignment="1">
      <alignment horizontal="left" vertical="center" wrapText="1"/>
    </xf>
    <xf numFmtId="0" fontId="14" fillId="0" borderId="13" xfId="1" applyBorder="1" applyAlignment="1">
      <alignment vertical="center"/>
    </xf>
    <xf numFmtId="0" fontId="14" fillId="3" borderId="16" xfId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vertical="center"/>
    </xf>
    <xf numFmtId="0" fontId="30" fillId="6" borderId="16" xfId="0" applyFont="1" applyFill="1" applyBorder="1" applyAlignment="1">
      <alignment vertical="center"/>
    </xf>
    <xf numFmtId="0" fontId="14" fillId="6" borderId="16" xfId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4" fillId="13" borderId="18" xfId="0" applyFont="1" applyFill="1" applyBorder="1" applyAlignment="1">
      <alignment vertical="center"/>
    </xf>
    <xf numFmtId="0" fontId="44" fillId="13" borderId="18" xfId="0" applyFont="1" applyFill="1" applyBorder="1" applyAlignment="1">
      <alignment vertical="center" wrapText="1"/>
    </xf>
    <xf numFmtId="3" fontId="44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left" vertical="center"/>
    </xf>
    <xf numFmtId="0" fontId="44" fillId="13" borderId="16" xfId="0" applyFont="1" applyFill="1" applyBorder="1" applyAlignment="1">
      <alignment vertical="center" wrapText="1"/>
    </xf>
    <xf numFmtId="0" fontId="27" fillId="10" borderId="54" xfId="0" applyFont="1" applyFill="1" applyBorder="1" applyAlignment="1">
      <alignment vertical="center"/>
    </xf>
    <xf numFmtId="0" fontId="0" fillId="0" borderId="54" xfId="0" applyBorder="1" applyAlignment="1">
      <alignment vertical="center"/>
    </xf>
    <xf numFmtId="17" fontId="20" fillId="5" borderId="1" xfId="0" quotePrefix="1" applyNumberFormat="1" applyFont="1" applyFill="1" applyBorder="1" applyAlignment="1">
      <alignment horizontal="center"/>
    </xf>
    <xf numFmtId="0" fontId="19" fillId="5" borderId="1" xfId="0" applyFont="1" applyFill="1" applyBorder="1"/>
    <xf numFmtId="0" fontId="20" fillId="5" borderId="1" xfId="0" applyFont="1" applyFill="1" applyBorder="1" applyAlignment="1">
      <alignment horizontal="center"/>
    </xf>
    <xf numFmtId="14" fontId="27" fillId="0" borderId="18" xfId="0" applyNumberFormat="1" applyFont="1" applyBorder="1" applyAlignment="1">
      <alignment horizontal="center" vertical="center"/>
    </xf>
    <xf numFmtId="0" fontId="44" fillId="10" borderId="18" xfId="0" applyFont="1" applyFill="1" applyBorder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27" fillId="10" borderId="18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/>
    </xf>
    <xf numFmtId="0" fontId="19" fillId="6" borderId="1" xfId="0" applyFont="1" applyFill="1" applyBorder="1"/>
    <xf numFmtId="0" fontId="20" fillId="6" borderId="1" xfId="0" applyFont="1" applyFill="1" applyBorder="1" applyAlignment="1">
      <alignment horizontal="center"/>
    </xf>
    <xf numFmtId="0" fontId="29" fillId="0" borderId="12" xfId="0" applyFont="1" applyBorder="1" applyAlignment="1">
      <alignment horizontal="left" vertical="center"/>
    </xf>
    <xf numFmtId="0" fontId="29" fillId="6" borderId="35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63" fillId="10" borderId="1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64" fillId="6" borderId="1" xfId="0" applyFont="1" applyFill="1" applyBorder="1" applyAlignment="1">
      <alignment vertical="top" wrapText="1"/>
    </xf>
    <xf numFmtId="0" fontId="14" fillId="0" borderId="18" xfId="1" applyBorder="1" applyAlignment="1">
      <alignment horizontal="center" vertical="center"/>
    </xf>
    <xf numFmtId="0" fontId="65" fillId="6" borderId="18" xfId="0" applyFont="1" applyFill="1" applyBorder="1" applyAlignment="1">
      <alignment horizontal="center" vertical="center"/>
    </xf>
    <xf numFmtId="0" fontId="34" fillId="10" borderId="15" xfId="0" applyFont="1" applyFill="1" applyBorder="1" applyAlignment="1">
      <alignment horizontal="center" vertical="center"/>
    </xf>
    <xf numFmtId="0" fontId="34" fillId="10" borderId="33" xfId="0" applyFont="1" applyFill="1" applyBorder="1" applyAlignment="1">
      <alignment horizontal="center" vertical="center"/>
    </xf>
    <xf numFmtId="0" fontId="27" fillId="10" borderId="21" xfId="0" applyFont="1" applyFill="1" applyBorder="1" applyAlignment="1">
      <alignment horizontal="center" vertical="center"/>
    </xf>
    <xf numFmtId="0" fontId="27" fillId="10" borderId="26" xfId="0" applyFont="1" applyFill="1" applyBorder="1" applyAlignment="1">
      <alignment horizontal="center" vertical="center"/>
    </xf>
    <xf numFmtId="0" fontId="27" fillId="0" borderId="18" xfId="0" quotePrefix="1" applyFont="1" applyBorder="1" applyAlignment="1">
      <alignment vertical="center"/>
    </xf>
    <xf numFmtId="0" fontId="27" fillId="0" borderId="18" xfId="0" quotePrefix="1" applyFont="1" applyBorder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4" fontId="30" fillId="13" borderId="12" xfId="0" applyNumberFormat="1" applyFont="1" applyFill="1" applyBorder="1" applyAlignment="1">
      <alignment horizontal="center" vertical="center"/>
    </xf>
    <xf numFmtId="14" fontId="29" fillId="3" borderId="11" xfId="0" applyNumberFormat="1" applyFont="1" applyFill="1" applyBorder="1" applyAlignment="1">
      <alignment horizontal="center" vertical="center" wrapText="1"/>
    </xf>
    <xf numFmtId="14" fontId="11" fillId="6" borderId="12" xfId="0" applyNumberFormat="1" applyFont="1" applyFill="1" applyBorder="1" applyAlignment="1">
      <alignment horizontal="center" vertical="center" wrapText="1"/>
    </xf>
    <xf numFmtId="14" fontId="29" fillId="6" borderId="12" xfId="0" applyNumberFormat="1" applyFont="1" applyFill="1" applyBorder="1" applyAlignment="1">
      <alignment horizontal="center" vertical="center" wrapText="1"/>
    </xf>
    <xf numFmtId="14" fontId="6" fillId="6" borderId="0" xfId="0" applyNumberFormat="1" applyFont="1" applyFill="1" applyAlignment="1">
      <alignment horizontal="center" vertical="center"/>
    </xf>
    <xf numFmtId="0" fontId="29" fillId="3" borderId="11" xfId="0" applyFont="1" applyFill="1" applyBorder="1" applyAlignment="1">
      <alignment vertical="center" wrapText="1"/>
    </xf>
    <xf numFmtId="0" fontId="29" fillId="6" borderId="12" xfId="0" applyFont="1" applyFill="1" applyBorder="1" applyAlignment="1">
      <alignment vertical="center" wrapText="1"/>
    </xf>
    <xf numFmtId="0" fontId="2" fillId="8" borderId="0" xfId="0" applyFont="1" applyFill="1" applyAlignment="1">
      <alignment horizontal="center" wrapText="1"/>
    </xf>
    <xf numFmtId="14" fontId="0" fillId="0" borderId="0" xfId="0" applyNumberFormat="1"/>
    <xf numFmtId="0" fontId="20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3" fillId="0" borderId="3" xfId="0" applyFont="1" applyBorder="1" applyAlignment="1">
      <alignment vertical="center"/>
    </xf>
    <xf numFmtId="0" fontId="19" fillId="32" borderId="1" xfId="0" applyFont="1" applyFill="1" applyBorder="1"/>
    <xf numFmtId="0" fontId="53" fillId="32" borderId="1" xfId="0" applyFont="1" applyFill="1" applyBorder="1"/>
    <xf numFmtId="0" fontId="53" fillId="32" borderId="1" xfId="0" applyFont="1" applyFill="1" applyBorder="1" applyAlignment="1">
      <alignment vertical="center"/>
    </xf>
    <xf numFmtId="0" fontId="19" fillId="32" borderId="0" xfId="0" applyFont="1" applyFill="1"/>
    <xf numFmtId="0" fontId="53" fillId="32" borderId="0" xfId="0" applyFont="1" applyFill="1"/>
    <xf numFmtId="0" fontId="2" fillId="5" borderId="3" xfId="0" applyFont="1" applyFill="1" applyBorder="1" applyAlignment="1">
      <alignment vertical="center"/>
    </xf>
    <xf numFmtId="0" fontId="20" fillId="6" borderId="1" xfId="0" applyFont="1" applyFill="1" applyBorder="1"/>
    <xf numFmtId="0" fontId="44" fillId="6" borderId="12" xfId="0" applyFont="1" applyFill="1" applyBorder="1" applyAlignment="1">
      <alignment vertical="center" wrapText="1"/>
    </xf>
    <xf numFmtId="0" fontId="44" fillId="6" borderId="12" xfId="0" applyFont="1" applyFill="1" applyBorder="1" applyAlignment="1">
      <alignment vertical="center"/>
    </xf>
    <xf numFmtId="0" fontId="30" fillId="6" borderId="16" xfId="0" applyFont="1" applyFill="1" applyBorder="1" applyAlignment="1">
      <alignment horizontal="left" vertical="center"/>
    </xf>
    <xf numFmtId="14" fontId="30" fillId="6" borderId="16" xfId="0" applyNumberFormat="1" applyFont="1" applyFill="1" applyBorder="1" applyAlignment="1">
      <alignment horizontal="left" vertical="center"/>
    </xf>
    <xf numFmtId="0" fontId="30" fillId="0" borderId="12" xfId="0" applyFont="1" applyBorder="1" applyAlignment="1">
      <alignment vertical="center" wrapText="1"/>
    </xf>
    <xf numFmtId="0" fontId="6" fillId="0" borderId="35" xfId="0" applyFont="1" applyBorder="1" applyAlignment="1">
      <alignment vertical="center"/>
    </xf>
    <xf numFmtId="0" fontId="14" fillId="0" borderId="12" xfId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left" vertical="center"/>
    </xf>
    <xf numFmtId="0" fontId="30" fillId="6" borderId="10" xfId="0" applyFont="1" applyFill="1" applyBorder="1" applyAlignment="1">
      <alignment vertical="center"/>
    </xf>
    <xf numFmtId="0" fontId="30" fillId="6" borderId="15" xfId="0" applyFont="1" applyFill="1" applyBorder="1" applyAlignment="1">
      <alignment horizontal="left" vertical="center"/>
    </xf>
    <xf numFmtId="0" fontId="33" fillId="16" borderId="13" xfId="0" applyFont="1" applyFill="1" applyBorder="1" applyAlignment="1">
      <alignment horizontal="center" vertical="center" wrapText="1"/>
    </xf>
    <xf numFmtId="0" fontId="30" fillId="6" borderId="18" xfId="0" quotePrefix="1" applyFont="1" applyFill="1" applyBorder="1" applyAlignment="1">
      <alignment horizontal="left" vertical="center" wrapText="1"/>
    </xf>
    <xf numFmtId="0" fontId="30" fillId="6" borderId="18" xfId="0" applyFont="1" applyFill="1" applyBorder="1" applyAlignment="1">
      <alignment vertical="center"/>
    </xf>
    <xf numFmtId="0" fontId="30" fillId="6" borderId="17" xfId="0" applyFont="1" applyFill="1" applyBorder="1" applyAlignment="1">
      <alignment horizontal="center" vertical="center"/>
    </xf>
    <xf numFmtId="0" fontId="21" fillId="31" borderId="60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vertical="center"/>
    </xf>
    <xf numFmtId="0" fontId="14" fillId="6" borderId="13" xfId="1" applyFill="1" applyBorder="1" applyAlignment="1">
      <alignment horizontal="center" vertical="center"/>
    </xf>
    <xf numFmtId="0" fontId="14" fillId="6" borderId="17" xfId="1" applyFill="1" applyBorder="1" applyAlignment="1">
      <alignment horizontal="center" vertical="center"/>
    </xf>
    <xf numFmtId="0" fontId="14" fillId="6" borderId="16" xfId="1" applyFill="1" applyBorder="1" applyAlignment="1">
      <alignment vertical="center"/>
    </xf>
    <xf numFmtId="0" fontId="30" fillId="5" borderId="12" xfId="0" applyFont="1" applyFill="1" applyBorder="1" applyAlignment="1">
      <alignment vertical="center"/>
    </xf>
    <xf numFmtId="0" fontId="68" fillId="19" borderId="8" xfId="0" applyFont="1" applyFill="1" applyBorder="1" applyAlignment="1">
      <alignment horizontal="center" vertical="center" wrapText="1"/>
    </xf>
    <xf numFmtId="0" fontId="68" fillId="19" borderId="3" xfId="0" applyFont="1" applyFill="1" applyBorder="1" applyAlignment="1">
      <alignment horizontal="center" vertical="center" wrapText="1"/>
    </xf>
    <xf numFmtId="0" fontId="69" fillId="20" borderId="3" xfId="0" applyFont="1" applyFill="1" applyBorder="1" applyAlignment="1">
      <alignment horizontal="center" vertical="center" wrapText="1"/>
    </xf>
    <xf numFmtId="0" fontId="68" fillId="19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4" fontId="68" fillId="19" borderId="3" xfId="0" applyNumberFormat="1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vertical="center"/>
    </xf>
    <xf numFmtId="2" fontId="25" fillId="17" borderId="41" xfId="0" applyNumberFormat="1" applyFont="1" applyFill="1" applyBorder="1" applyAlignment="1">
      <alignment vertical="center" wrapText="1"/>
    </xf>
    <xf numFmtId="2" fontId="19" fillId="0" borderId="0" xfId="0" applyNumberFormat="1" applyFont="1"/>
    <xf numFmtId="2" fontId="21" fillId="31" borderId="60" xfId="0" applyNumberFormat="1" applyFont="1" applyFill="1" applyBorder="1" applyAlignment="1">
      <alignment horizontal="center" vertical="center" wrapText="1"/>
    </xf>
    <xf numFmtId="2" fontId="2" fillId="18" borderId="0" xfId="0" applyNumberFormat="1" applyFont="1" applyFill="1" applyAlignment="1">
      <alignment horizontal="center" vertical="center" wrapText="1"/>
    </xf>
    <xf numFmtId="2" fontId="6" fillId="0" borderId="35" xfId="0" applyNumberFormat="1" applyFont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6" fillId="0" borderId="12" xfId="0" applyNumberFormat="1" applyFont="1" applyBorder="1" applyAlignment="1">
      <alignment vertical="center"/>
    </xf>
    <xf numFmtId="2" fontId="2" fillId="18" borderId="12" xfId="0" applyNumberFormat="1" applyFont="1" applyFill="1" applyBorder="1" applyAlignment="1">
      <alignment horizontal="center" vertical="center" wrapText="1"/>
    </xf>
    <xf numFmtId="2" fontId="6" fillId="0" borderId="10" xfId="0" applyNumberFormat="1" applyFont="1" applyBorder="1" applyAlignment="1">
      <alignment vertical="center"/>
    </xf>
    <xf numFmtId="2" fontId="2" fillId="8" borderId="0" xfId="0" applyNumberFormat="1" applyFont="1" applyFill="1" applyAlignment="1">
      <alignment horizontal="center" wrapText="1"/>
    </xf>
    <xf numFmtId="2" fontId="19" fillId="0" borderId="12" xfId="0" applyNumberFormat="1" applyFont="1" applyBorder="1"/>
    <xf numFmtId="2" fontId="6" fillId="0" borderId="35" xfId="0" quotePrefix="1" applyNumberFormat="1" applyFont="1" applyBorder="1" applyAlignment="1">
      <alignment vertical="center"/>
    </xf>
    <xf numFmtId="0" fontId="29" fillId="3" borderId="55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horizontal="left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6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0" fillId="0" borderId="0" xfId="0" applyFont="1"/>
    <xf numFmtId="0" fontId="31" fillId="0" borderId="0" xfId="0" applyFont="1" applyAlignment="1">
      <alignment horizontal="left" vertical="center"/>
    </xf>
    <xf numFmtId="0" fontId="32" fillId="20" borderId="61" xfId="0" applyFont="1" applyFill="1" applyBorder="1" applyAlignment="1">
      <alignment horizontal="center" vertical="center" wrapText="1"/>
    </xf>
    <xf numFmtId="0" fontId="29" fillId="19" borderId="61" xfId="0" applyFont="1" applyFill="1" applyBorder="1" applyAlignment="1">
      <alignment horizontal="center" vertical="center" wrapText="1"/>
    </xf>
    <xf numFmtId="14" fontId="29" fillId="19" borderId="61" xfId="0" applyNumberFormat="1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36" fillId="18" borderId="1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4" fillId="6" borderId="12" xfId="1" applyFill="1" applyBorder="1" applyAlignment="1">
      <alignment horizontal="center" vertical="center"/>
    </xf>
    <xf numFmtId="14" fontId="30" fillId="6" borderId="12" xfId="0" quotePrefix="1" applyNumberFormat="1" applyFont="1" applyFill="1" applyBorder="1" applyAlignment="1">
      <alignment horizontal="left" vertical="center"/>
    </xf>
    <xf numFmtId="0" fontId="14" fillId="6" borderId="0" xfId="1" applyFill="1" applyAlignment="1">
      <alignment vertical="center"/>
    </xf>
    <xf numFmtId="14" fontId="30" fillId="3" borderId="16" xfId="0" applyNumberFormat="1" applyFont="1" applyFill="1" applyBorder="1" applyAlignment="1">
      <alignment horizontal="left" vertical="center"/>
    </xf>
    <xf numFmtId="0" fontId="19" fillId="0" borderId="10" xfId="0" applyFont="1" applyBorder="1"/>
    <xf numFmtId="14" fontId="19" fillId="0" borderId="10" xfId="0" applyNumberFormat="1" applyFont="1" applyBorder="1"/>
    <xf numFmtId="0" fontId="20" fillId="32" borderId="1" xfId="0" applyFont="1" applyFill="1" applyBorder="1" applyAlignment="1">
      <alignment horizontal="center" vertical="center"/>
    </xf>
    <xf numFmtId="0" fontId="20" fillId="32" borderId="1" xfId="0" applyFont="1" applyFill="1" applyBorder="1"/>
    <xf numFmtId="0" fontId="2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14" fontId="20" fillId="0" borderId="0" xfId="0" applyNumberFormat="1" applyFont="1" applyAlignment="1">
      <alignment horizontal="center"/>
    </xf>
    <xf numFmtId="14" fontId="20" fillId="0" borderId="0" xfId="0" applyNumberFormat="1" applyFont="1"/>
    <xf numFmtId="2" fontId="20" fillId="0" borderId="0" xfId="0" applyNumberFormat="1" applyFont="1"/>
    <xf numFmtId="0" fontId="25" fillId="17" borderId="41" xfId="0" applyFont="1" applyFill="1" applyBorder="1" applyAlignment="1">
      <alignment horizontal="left" vertical="center" wrapText="1"/>
    </xf>
    <xf numFmtId="0" fontId="19" fillId="6" borderId="60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" fillId="18" borderId="0" xfId="0" applyFont="1" applyFill="1" applyAlignment="1">
      <alignment horizontal="left" vertical="center" wrapText="1"/>
    </xf>
    <xf numFmtId="0" fontId="6" fillId="6" borderId="35" xfId="0" applyFont="1" applyFill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" fillId="18" borderId="12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16" borderId="10" xfId="0" applyFont="1" applyFill="1" applyBorder="1" applyAlignment="1">
      <alignment horizontal="left" vertical="center"/>
    </xf>
    <xf numFmtId="0" fontId="6" fillId="30" borderId="12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" fillId="18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/>
    </xf>
    <xf numFmtId="0" fontId="2" fillId="18" borderId="62" xfId="0" applyFont="1" applyFill="1" applyBorder="1" applyAlignment="1">
      <alignment horizontal="center" vertical="center" wrapText="1"/>
    </xf>
    <xf numFmtId="0" fontId="6" fillId="0" borderId="62" xfId="0" applyFont="1" applyBorder="1" applyAlignment="1">
      <alignment vertical="center"/>
    </xf>
    <xf numFmtId="0" fontId="6" fillId="0" borderId="62" xfId="0" applyFont="1" applyBorder="1" applyAlignment="1">
      <alignment horizontal="left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5" borderId="62" xfId="0" applyFont="1" applyFill="1" applyBorder="1" applyAlignment="1">
      <alignment vertical="center"/>
    </xf>
    <xf numFmtId="0" fontId="63" fillId="14" borderId="62" xfId="0" applyFont="1" applyFill="1" applyBorder="1" applyAlignment="1">
      <alignment horizontal="center" vertical="center" wrapText="1"/>
    </xf>
    <xf numFmtId="0" fontId="63" fillId="31" borderId="62" xfId="0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25" fillId="17" borderId="62" xfId="0" applyFont="1" applyFill="1" applyBorder="1" applyAlignment="1">
      <alignment horizontal="center" vertical="center" wrapText="1"/>
    </xf>
    <xf numFmtId="14" fontId="25" fillId="17" borderId="62" xfId="0" applyNumberFormat="1" applyFont="1" applyFill="1" applyBorder="1" applyAlignment="1">
      <alignment horizontal="center" vertical="center" wrapText="1"/>
    </xf>
    <xf numFmtId="0" fontId="25" fillId="33" borderId="62" xfId="0" applyFont="1" applyFill="1" applyBorder="1" applyAlignment="1">
      <alignment horizontal="center" vertical="center" wrapText="1"/>
    </xf>
    <xf numFmtId="2" fontId="25" fillId="33" borderId="62" xfId="0" applyNumberFormat="1" applyFont="1" applyFill="1" applyBorder="1" applyAlignment="1">
      <alignment horizontal="center" vertical="center" wrapText="1"/>
    </xf>
    <xf numFmtId="0" fontId="25" fillId="17" borderId="62" xfId="0" applyFont="1" applyFill="1" applyBorder="1" applyAlignment="1">
      <alignment horizontal="left" vertical="center" wrapText="1"/>
    </xf>
    <xf numFmtId="0" fontId="63" fillId="3" borderId="62" xfId="0" applyFont="1" applyFill="1" applyBorder="1" applyAlignment="1">
      <alignment horizontal="center" vertical="center" wrapText="1"/>
    </xf>
    <xf numFmtId="0" fontId="63" fillId="14" borderId="64" xfId="0" applyFont="1" applyFill="1" applyBorder="1" applyAlignment="1">
      <alignment horizontal="center" vertical="center" wrapText="1"/>
    </xf>
    <xf numFmtId="0" fontId="25" fillId="31" borderId="65" xfId="0" applyFont="1" applyFill="1" applyBorder="1" applyAlignment="1">
      <alignment horizontal="center" vertical="center" wrapText="1"/>
    </xf>
    <xf numFmtId="0" fontId="25" fillId="31" borderId="60" xfId="0" applyFont="1" applyFill="1" applyBorder="1" applyAlignment="1">
      <alignment horizontal="center" vertical="center" wrapText="1"/>
    </xf>
    <xf numFmtId="14" fontId="25" fillId="31" borderId="60" xfId="0" applyNumberFormat="1" applyFont="1" applyFill="1" applyBorder="1" applyAlignment="1">
      <alignment horizontal="center" vertical="center" wrapText="1"/>
    </xf>
    <xf numFmtId="0" fontId="25" fillId="31" borderId="60" xfId="0" applyFont="1" applyFill="1" applyBorder="1" applyAlignment="1">
      <alignment horizontal="left" vertical="center" wrapText="1"/>
    </xf>
    <xf numFmtId="0" fontId="63" fillId="31" borderId="60" xfId="0" applyFont="1" applyFill="1" applyBorder="1" applyAlignment="1">
      <alignment horizontal="center" vertical="center" wrapText="1"/>
    </xf>
    <xf numFmtId="0" fontId="63" fillId="31" borderId="63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/>
    </xf>
    <xf numFmtId="0" fontId="31" fillId="0" borderId="30" xfId="0" quotePrefix="1" applyFont="1" applyBorder="1" applyAlignment="1">
      <alignment horizontal="left" vertical="center"/>
    </xf>
    <xf numFmtId="0" fontId="71" fillId="17" borderId="12" xfId="0" applyFont="1" applyFill="1" applyBorder="1" applyAlignment="1">
      <alignment horizontal="center" vertical="center" wrapText="1"/>
    </xf>
    <xf numFmtId="14" fontId="72" fillId="28" borderId="44" xfId="0" applyNumberFormat="1" applyFont="1" applyFill="1" applyBorder="1" applyAlignment="1">
      <alignment horizontal="center" vertical="center" wrapText="1"/>
    </xf>
    <xf numFmtId="0" fontId="72" fillId="28" borderId="8" xfId="0" applyFont="1" applyFill="1" applyBorder="1" applyAlignment="1">
      <alignment horizontal="center" vertical="center" wrapText="1"/>
    </xf>
    <xf numFmtId="0" fontId="73" fillId="18" borderId="35" xfId="0" applyFont="1" applyFill="1" applyBorder="1" applyAlignment="1">
      <alignment horizontal="left" vertical="center"/>
    </xf>
    <xf numFmtId="0" fontId="73" fillId="18" borderId="33" xfId="0" applyFont="1" applyFill="1" applyBorder="1" applyAlignment="1">
      <alignment horizontal="center" vertical="center" wrapText="1"/>
    </xf>
    <xf numFmtId="14" fontId="73" fillId="18" borderId="11" xfId="0" applyNumberFormat="1" applyFont="1" applyFill="1" applyBorder="1" applyAlignment="1">
      <alignment horizontal="center" vertical="center" wrapText="1"/>
    </xf>
    <xf numFmtId="0" fontId="73" fillId="18" borderId="11" xfId="0" applyFont="1" applyFill="1" applyBorder="1" applyAlignment="1">
      <alignment horizontal="center" vertical="center" wrapText="1"/>
    </xf>
    <xf numFmtId="0" fontId="74" fillId="6" borderId="34" xfId="0" applyFont="1" applyFill="1" applyBorder="1" applyAlignment="1">
      <alignment horizontal="center" vertical="center"/>
    </xf>
    <xf numFmtId="0" fontId="74" fillId="6" borderId="13" xfId="0" applyFont="1" applyFill="1" applyBorder="1" applyAlignment="1">
      <alignment vertical="center"/>
    </xf>
    <xf numFmtId="0" fontId="74" fillId="0" borderId="13" xfId="0" applyFont="1" applyBorder="1" applyAlignment="1">
      <alignment vertical="center"/>
    </xf>
    <xf numFmtId="14" fontId="74" fillId="29" borderId="13" xfId="0" applyNumberFormat="1" applyFont="1" applyFill="1" applyBorder="1" applyAlignment="1">
      <alignment horizontal="center" vertical="center"/>
    </xf>
    <xf numFmtId="0" fontId="74" fillId="29" borderId="13" xfId="0" applyFont="1" applyFill="1" applyBorder="1" applyAlignment="1">
      <alignment horizontal="center" vertical="center"/>
    </xf>
    <xf numFmtId="0" fontId="73" fillId="3" borderId="13" xfId="0" applyFont="1" applyFill="1" applyBorder="1" applyAlignment="1">
      <alignment vertical="center"/>
    </xf>
    <xf numFmtId="0" fontId="74" fillId="6" borderId="15" xfId="0" applyFont="1" applyFill="1" applyBorder="1" applyAlignment="1">
      <alignment horizontal="center" vertical="center"/>
    </xf>
    <xf numFmtId="0" fontId="74" fillId="6" borderId="12" xfId="0" applyFont="1" applyFill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5" fillId="0" borderId="12" xfId="1" applyFont="1" applyBorder="1" applyAlignment="1">
      <alignment vertical="center"/>
    </xf>
    <xf numFmtId="14" fontId="74" fillId="29" borderId="12" xfId="0" applyNumberFormat="1" applyFont="1" applyFill="1" applyBorder="1" applyAlignment="1">
      <alignment horizontal="center" vertical="center"/>
    </xf>
    <xf numFmtId="0" fontId="74" fillId="29" borderId="12" xfId="0" applyFont="1" applyFill="1" applyBorder="1" applyAlignment="1">
      <alignment horizontal="center" vertical="center"/>
    </xf>
    <xf numFmtId="0" fontId="74" fillId="29" borderId="12" xfId="0" quotePrefix="1" applyFont="1" applyFill="1" applyBorder="1" applyAlignment="1">
      <alignment horizontal="center" vertical="center"/>
    </xf>
    <xf numFmtId="0" fontId="73" fillId="3" borderId="12" xfId="0" applyFont="1" applyFill="1" applyBorder="1" applyAlignment="1">
      <alignment vertical="center"/>
    </xf>
    <xf numFmtId="0" fontId="76" fillId="6" borderId="12" xfId="0" applyFont="1" applyFill="1" applyBorder="1" applyAlignment="1">
      <alignment vertical="center"/>
    </xf>
    <xf numFmtId="0" fontId="76" fillId="0" borderId="12" xfId="0" applyFont="1" applyBorder="1" applyAlignment="1">
      <alignment vertical="center"/>
    </xf>
    <xf numFmtId="14" fontId="76" fillId="29" borderId="12" xfId="0" applyNumberFormat="1" applyFont="1" applyFill="1" applyBorder="1" applyAlignment="1">
      <alignment horizontal="center" vertical="center"/>
    </xf>
    <xf numFmtId="0" fontId="76" fillId="29" borderId="12" xfId="0" applyFont="1" applyFill="1" applyBorder="1" applyAlignment="1">
      <alignment horizontal="center" vertical="center"/>
    </xf>
    <xf numFmtId="0" fontId="76" fillId="29" borderId="12" xfId="0" applyFont="1" applyFill="1" applyBorder="1" applyAlignment="1">
      <alignment vertical="center"/>
    </xf>
    <xf numFmtId="0" fontId="77" fillId="3" borderId="12" xfId="0" applyFont="1" applyFill="1" applyBorder="1" applyAlignment="1">
      <alignment vertical="center"/>
    </xf>
    <xf numFmtId="0" fontId="74" fillId="0" borderId="13" xfId="0" applyFont="1" applyBorder="1" applyAlignment="1">
      <alignment vertical="center" wrapText="1"/>
    </xf>
    <xf numFmtId="0" fontId="74" fillId="29" borderId="16" xfId="0" applyFont="1" applyFill="1" applyBorder="1" applyAlignment="1">
      <alignment horizontal="center" vertical="center"/>
    </xf>
    <xf numFmtId="14" fontId="74" fillId="29" borderId="16" xfId="0" applyNumberFormat="1" applyFont="1" applyFill="1" applyBorder="1" applyAlignment="1">
      <alignment horizontal="center" vertical="center"/>
    </xf>
    <xf numFmtId="0" fontId="73" fillId="3" borderId="16" xfId="0" applyFont="1" applyFill="1" applyBorder="1" applyAlignment="1">
      <alignment vertical="center"/>
    </xf>
    <xf numFmtId="14" fontId="74" fillId="23" borderId="45" xfId="0" applyNumberFormat="1" applyFont="1" applyFill="1" applyBorder="1" applyAlignment="1">
      <alignment horizontal="center" vertical="center"/>
    </xf>
    <xf numFmtId="14" fontId="73" fillId="3" borderId="12" xfId="0" applyNumberFormat="1" applyFont="1" applyFill="1" applyBorder="1" applyAlignment="1">
      <alignment vertical="center"/>
    </xf>
    <xf numFmtId="0" fontId="74" fillId="26" borderId="12" xfId="0" applyFont="1" applyFill="1" applyBorder="1" applyAlignment="1">
      <alignment vertical="center"/>
    </xf>
    <xf numFmtId="0" fontId="74" fillId="25" borderId="15" xfId="0" applyFont="1" applyFill="1" applyBorder="1" applyAlignment="1">
      <alignment horizontal="center" vertical="center"/>
    </xf>
    <xf numFmtId="0" fontId="74" fillId="25" borderId="12" xfId="0" applyFont="1" applyFill="1" applyBorder="1" applyAlignment="1">
      <alignment vertical="center"/>
    </xf>
    <xf numFmtId="14" fontId="73" fillId="3" borderId="12" xfId="0" applyNumberFormat="1" applyFont="1" applyFill="1" applyBorder="1" applyAlignment="1">
      <alignment horizontal="center" vertical="center"/>
    </xf>
    <xf numFmtId="0" fontId="74" fillId="0" borderId="10" xfId="0" applyFont="1" applyBorder="1" applyAlignment="1">
      <alignment vertical="center"/>
    </xf>
    <xf numFmtId="0" fontId="74" fillId="0" borderId="36" xfId="0" applyFont="1" applyBorder="1" applyAlignment="1">
      <alignment vertical="center"/>
    </xf>
    <xf numFmtId="0" fontId="74" fillId="0" borderId="46" xfId="0" applyFont="1" applyBorder="1" applyAlignment="1">
      <alignment vertical="center"/>
    </xf>
    <xf numFmtId="0" fontId="74" fillId="29" borderId="15" xfId="0" applyFont="1" applyFill="1" applyBorder="1" applyAlignment="1">
      <alignment horizontal="center" vertical="center"/>
    </xf>
    <xf numFmtId="14" fontId="74" fillId="23" borderId="48" xfId="0" applyNumberFormat="1" applyFont="1" applyFill="1" applyBorder="1" applyAlignment="1">
      <alignment horizontal="center" vertical="center"/>
    </xf>
    <xf numFmtId="0" fontId="74" fillId="5" borderId="12" xfId="0" applyFont="1" applyFill="1" applyBorder="1" applyAlignment="1">
      <alignment vertical="center"/>
    </xf>
    <xf numFmtId="14" fontId="74" fillId="23" borderId="12" xfId="0" applyNumberFormat="1" applyFont="1" applyFill="1" applyBorder="1" applyAlignment="1">
      <alignment horizontal="center" vertical="center"/>
    </xf>
    <xf numFmtId="0" fontId="74" fillId="23" borderId="12" xfId="0" applyFont="1" applyFill="1" applyBorder="1" applyAlignment="1">
      <alignment vertical="center"/>
    </xf>
    <xf numFmtId="14" fontId="74" fillId="24" borderId="12" xfId="0" applyNumberFormat="1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74" fillId="18" borderId="0" xfId="0" applyFont="1" applyFill="1" applyAlignment="1">
      <alignment vertical="center"/>
    </xf>
    <xf numFmtId="0" fontId="74" fillId="18" borderId="12" xfId="0" applyFont="1" applyFill="1" applyBorder="1" applyAlignment="1">
      <alignment vertical="center"/>
    </xf>
    <xf numFmtId="0" fontId="76" fillId="25" borderId="15" xfId="0" applyFont="1" applyFill="1" applyBorder="1" applyAlignment="1">
      <alignment horizontal="center" vertical="center"/>
    </xf>
    <xf numFmtId="0" fontId="75" fillId="6" borderId="12" xfId="1" applyFont="1" applyFill="1" applyBorder="1" applyAlignment="1">
      <alignment vertical="center"/>
    </xf>
    <xf numFmtId="0" fontId="74" fillId="25" borderId="33" xfId="0" applyFont="1" applyFill="1" applyBorder="1" applyAlignment="1">
      <alignment horizontal="center" vertical="center"/>
    </xf>
    <xf numFmtId="0" fontId="74" fillId="25" borderId="33" xfId="0" applyFont="1" applyFill="1" applyBorder="1" applyAlignment="1">
      <alignment vertical="center"/>
    </xf>
    <xf numFmtId="14" fontId="74" fillId="23" borderId="11" xfId="0" applyNumberFormat="1" applyFont="1" applyFill="1" applyBorder="1" applyAlignment="1">
      <alignment horizontal="center" vertical="center"/>
    </xf>
    <xf numFmtId="0" fontId="74" fillId="29" borderId="11" xfId="0" applyFont="1" applyFill="1" applyBorder="1" applyAlignment="1">
      <alignment horizontal="center" vertical="center"/>
    </xf>
    <xf numFmtId="14" fontId="74" fillId="29" borderId="11" xfId="0" applyNumberFormat="1" applyFont="1" applyFill="1" applyBorder="1" applyAlignment="1">
      <alignment horizontal="center" vertical="center"/>
    </xf>
    <xf numFmtId="14" fontId="73" fillId="3" borderId="11" xfId="0" applyNumberFormat="1" applyFont="1" applyFill="1" applyBorder="1" applyAlignment="1">
      <alignment horizontal="center" vertical="center"/>
    </xf>
    <xf numFmtId="0" fontId="76" fillId="6" borderId="15" xfId="0" applyFont="1" applyFill="1" applyBorder="1" applyAlignment="1">
      <alignment horizontal="center" vertical="center"/>
    </xf>
    <xf numFmtId="14" fontId="76" fillId="29" borderId="12" xfId="0" applyNumberFormat="1" applyFont="1" applyFill="1" applyBorder="1" applyAlignment="1">
      <alignment vertical="center"/>
    </xf>
    <xf numFmtId="0" fontId="74" fillId="8" borderId="0" xfId="0" applyFont="1" applyFill="1" applyAlignment="1">
      <alignment horizontal="center"/>
    </xf>
    <xf numFmtId="0" fontId="74" fillId="8" borderId="0" xfId="0" applyFont="1" applyFill="1"/>
    <xf numFmtId="14" fontId="74" fillId="8" borderId="0" xfId="0" applyNumberFormat="1" applyFont="1" applyFill="1" applyAlignment="1">
      <alignment horizontal="center"/>
    </xf>
    <xf numFmtId="0" fontId="74" fillId="0" borderId="12" xfId="0" applyFont="1" applyBorder="1" applyAlignment="1">
      <alignment horizontal="center"/>
    </xf>
    <xf numFmtId="0" fontId="74" fillId="6" borderId="12" xfId="0" applyFont="1" applyFill="1" applyBorder="1" applyAlignment="1">
      <alignment horizontal="center"/>
    </xf>
    <xf numFmtId="0" fontId="74" fillId="6" borderId="12" xfId="0" applyFont="1" applyFill="1" applyBorder="1"/>
    <xf numFmtId="0" fontId="74" fillId="27" borderId="12" xfId="0" applyFont="1" applyFill="1" applyBorder="1"/>
    <xf numFmtId="0" fontId="74" fillId="0" borderId="12" xfId="0" applyFont="1" applyBorder="1"/>
    <xf numFmtId="14" fontId="74" fillId="29" borderId="12" xfId="0" applyNumberFormat="1" applyFont="1" applyFill="1" applyBorder="1" applyAlignment="1">
      <alignment horizontal="center"/>
    </xf>
    <xf numFmtId="0" fontId="74" fillId="29" borderId="12" xfId="0" applyFont="1" applyFill="1" applyBorder="1" applyAlignment="1">
      <alignment horizontal="center"/>
    </xf>
    <xf numFmtId="0" fontId="73" fillId="3" borderId="12" xfId="0" applyFont="1" applyFill="1" applyBorder="1"/>
    <xf numFmtId="0" fontId="74" fillId="6" borderId="15" xfId="0" applyFont="1" applyFill="1" applyBorder="1" applyAlignment="1">
      <alignment horizontal="center"/>
    </xf>
    <xf numFmtId="14" fontId="73" fillId="3" borderId="12" xfId="0" applyNumberFormat="1" applyFont="1" applyFill="1" applyBorder="1" applyAlignment="1">
      <alignment horizontal="center"/>
    </xf>
    <xf numFmtId="0" fontId="74" fillId="27" borderId="12" xfId="0" applyFont="1" applyFill="1" applyBorder="1" applyAlignment="1">
      <alignment vertical="center"/>
    </xf>
    <xf numFmtId="0" fontId="74" fillId="0" borderId="51" xfId="0" applyFont="1" applyBorder="1" applyAlignment="1">
      <alignment vertical="center"/>
    </xf>
    <xf numFmtId="0" fontId="76" fillId="0" borderId="51" xfId="0" applyFont="1" applyBorder="1" applyAlignment="1">
      <alignment vertical="center"/>
    </xf>
    <xf numFmtId="0" fontId="78" fillId="6" borderId="12" xfId="1" applyFont="1" applyFill="1" applyBorder="1" applyAlignment="1">
      <alignment vertical="center"/>
    </xf>
    <xf numFmtId="0" fontId="74" fillId="6" borderId="0" xfId="0" applyFont="1" applyFill="1" applyAlignment="1">
      <alignment horizontal="center" vertical="center"/>
    </xf>
    <xf numFmtId="0" fontId="60" fillId="6" borderId="0" xfId="1" applyFont="1" applyFill="1" applyAlignment="1">
      <alignment vertical="center"/>
    </xf>
    <xf numFmtId="0" fontId="74" fillId="6" borderId="0" xfId="0" applyFont="1" applyFill="1" applyAlignment="1">
      <alignment vertical="center"/>
    </xf>
    <xf numFmtId="14" fontId="74" fillId="23" borderId="0" xfId="0" applyNumberFormat="1" applyFont="1" applyFill="1" applyAlignment="1">
      <alignment horizontal="center" vertical="center"/>
    </xf>
    <xf numFmtId="0" fontId="74" fillId="29" borderId="0" xfId="0" applyFont="1" applyFill="1" applyAlignment="1">
      <alignment horizontal="center" vertical="center"/>
    </xf>
    <xf numFmtId="14" fontId="74" fillId="29" borderId="0" xfId="0" applyNumberFormat="1" applyFont="1" applyFill="1" applyAlignment="1">
      <alignment horizontal="center" vertical="center"/>
    </xf>
    <xf numFmtId="0" fontId="74" fillId="6" borderId="33" xfId="0" applyFont="1" applyFill="1" applyBorder="1" applyAlignment="1">
      <alignment vertical="center"/>
    </xf>
    <xf numFmtId="14" fontId="74" fillId="6" borderId="12" xfId="0" applyNumberFormat="1" applyFont="1" applyFill="1" applyBorder="1" applyAlignment="1">
      <alignment horizontal="center" vertical="center"/>
    </xf>
    <xf numFmtId="0" fontId="74" fillId="29" borderId="52" xfId="0" applyFont="1" applyFill="1" applyBorder="1" applyAlignment="1">
      <alignment horizontal="center" vertical="center"/>
    </xf>
    <xf numFmtId="14" fontId="74" fillId="29" borderId="52" xfId="0" applyNumberFormat="1" applyFont="1" applyFill="1" applyBorder="1" applyAlignment="1">
      <alignment horizontal="center" vertical="center"/>
    </xf>
    <xf numFmtId="0" fontId="73" fillId="3" borderId="52" xfId="0" applyFont="1" applyFill="1" applyBorder="1" applyAlignment="1">
      <alignment vertical="center"/>
    </xf>
    <xf numFmtId="0" fontId="74" fillId="0" borderId="16" xfId="0" applyFont="1" applyBorder="1" applyAlignment="1">
      <alignment vertical="center"/>
    </xf>
    <xf numFmtId="0" fontId="74" fillId="6" borderId="16" xfId="0" applyFont="1" applyFill="1" applyBorder="1" applyAlignment="1">
      <alignment vertical="center"/>
    </xf>
    <xf numFmtId="14" fontId="74" fillId="23" borderId="16" xfId="0" applyNumberFormat="1" applyFont="1" applyFill="1" applyBorder="1" applyAlignment="1">
      <alignment horizontal="center" vertical="center"/>
    </xf>
    <xf numFmtId="0" fontId="30" fillId="3" borderId="12" xfId="0" quotePrefix="1" applyFont="1" applyFill="1" applyBorder="1" applyAlignment="1">
      <alignment vertical="center" wrapText="1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30" fillId="6" borderId="13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0" fillId="3" borderId="12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25" fillId="17" borderId="0" xfId="0" applyFont="1" applyFill="1" applyAlignment="1">
      <alignment horizontal="left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6" borderId="13" xfId="0" applyFont="1" applyFill="1" applyBorder="1" applyAlignment="1">
      <alignment horizontal="center" vertical="center" wrapText="1"/>
    </xf>
    <xf numFmtId="0" fontId="14" fillId="6" borderId="16" xfId="1" applyFill="1" applyBorder="1" applyAlignment="1">
      <alignment horizontal="center" vertical="center"/>
    </xf>
    <xf numFmtId="0" fontId="14" fillId="6" borderId="13" xfId="1" applyFill="1" applyBorder="1" applyAlignment="1">
      <alignment horizontal="center" vertical="center"/>
    </xf>
    <xf numFmtId="0" fontId="14" fillId="3" borderId="16" xfId="1" applyFill="1" applyBorder="1" applyAlignment="1">
      <alignment horizontal="center" vertical="center"/>
    </xf>
    <xf numFmtId="0" fontId="14" fillId="3" borderId="13" xfId="1" applyFill="1" applyBorder="1" applyAlignment="1">
      <alignment horizontal="center" vertical="center"/>
    </xf>
    <xf numFmtId="0" fontId="14" fillId="0" borderId="16" xfId="1" applyBorder="1" applyAlignment="1">
      <alignment horizontal="center" vertical="center"/>
    </xf>
    <xf numFmtId="0" fontId="14" fillId="0" borderId="17" xfId="1" applyBorder="1" applyAlignment="1">
      <alignment horizontal="center" vertical="center"/>
    </xf>
    <xf numFmtId="0" fontId="14" fillId="0" borderId="13" xfId="1" applyBorder="1" applyAlignment="1">
      <alignment horizontal="center" vertical="center"/>
    </xf>
    <xf numFmtId="0" fontId="14" fillId="3" borderId="17" xfId="1" applyFill="1" applyBorder="1" applyAlignment="1">
      <alignment horizontal="center" vertical="center"/>
    </xf>
    <xf numFmtId="14" fontId="30" fillId="3" borderId="12" xfId="0" applyNumberFormat="1" applyFont="1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 wrapText="1"/>
    </xf>
    <xf numFmtId="0" fontId="70" fillId="36" borderId="0" xfId="0" applyFont="1" applyFill="1" applyAlignment="1">
      <alignment horizontal="center" vertical="center"/>
    </xf>
    <xf numFmtId="0" fontId="70" fillId="36" borderId="33" xfId="0" applyFont="1" applyFill="1" applyBorder="1" applyAlignment="1">
      <alignment horizontal="center" vertical="center"/>
    </xf>
    <xf numFmtId="0" fontId="70" fillId="34" borderId="12" xfId="0" applyFont="1" applyFill="1" applyBorder="1" applyAlignment="1">
      <alignment horizontal="center" vertical="center" wrapText="1"/>
    </xf>
    <xf numFmtId="0" fontId="70" fillId="20" borderId="12" xfId="0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48" fillId="0" borderId="26" xfId="0" applyFont="1" applyBorder="1" applyAlignment="1">
      <alignment horizontal="left" vertical="center" wrapText="1"/>
    </xf>
    <xf numFmtId="0" fontId="48" fillId="0" borderId="43" xfId="0" applyFont="1" applyBorder="1" applyAlignment="1">
      <alignment horizontal="left" vertical="center" wrapText="1"/>
    </xf>
    <xf numFmtId="0" fontId="48" fillId="0" borderId="18" xfId="0" applyFont="1" applyBorder="1" applyAlignment="1">
      <alignment horizontal="left" vertical="center" wrapText="1"/>
    </xf>
    <xf numFmtId="0" fontId="14" fillId="0" borderId="26" xfId="1" applyBorder="1" applyAlignment="1">
      <alignment horizontal="center" vertical="center"/>
    </xf>
    <xf numFmtId="0" fontId="14" fillId="0" borderId="43" xfId="1" applyBorder="1" applyAlignment="1">
      <alignment horizontal="center" vertical="center"/>
    </xf>
    <xf numFmtId="0" fontId="14" fillId="0" borderId="21" xfId="1" applyBorder="1" applyAlignment="1">
      <alignment horizontal="center" vertical="center"/>
    </xf>
    <xf numFmtId="0" fontId="27" fillId="0" borderId="26" xfId="0" applyFont="1" applyBorder="1" applyAlignment="1">
      <alignment horizontal="left" vertical="center"/>
    </xf>
    <xf numFmtId="0" fontId="27" fillId="0" borderId="43" xfId="0" applyFont="1" applyBorder="1" applyAlignment="1">
      <alignment horizontal="left" vertical="center"/>
    </xf>
    <xf numFmtId="0" fontId="27" fillId="0" borderId="21" xfId="0" applyFont="1" applyBorder="1" applyAlignment="1">
      <alignment horizontal="left" vertical="center"/>
    </xf>
    <xf numFmtId="0" fontId="44" fillId="0" borderId="16" xfId="0" applyFont="1" applyBorder="1" applyAlignment="1">
      <alignment horizontal="left" vertical="center"/>
    </xf>
    <xf numFmtId="0" fontId="44" fillId="0" borderId="17" xfId="0" applyFont="1" applyBorder="1" applyAlignment="1">
      <alignment horizontal="left" vertical="center"/>
    </xf>
    <xf numFmtId="0" fontId="44" fillId="0" borderId="13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27" fillId="10" borderId="16" xfId="0" applyFont="1" applyFill="1" applyBorder="1" applyAlignment="1">
      <alignment horizontal="left" vertical="center"/>
    </xf>
    <xf numFmtId="0" fontId="27" fillId="10" borderId="17" xfId="0" applyFont="1" applyFill="1" applyBorder="1" applyAlignment="1">
      <alignment horizontal="left" vertical="center"/>
    </xf>
    <xf numFmtId="0" fontId="27" fillId="10" borderId="13" xfId="0" applyFont="1" applyFill="1" applyBorder="1" applyAlignment="1">
      <alignment horizontal="left" vertical="center"/>
    </xf>
    <xf numFmtId="0" fontId="27" fillId="0" borderId="57" xfId="0" quotePrefix="1" applyFont="1" applyBorder="1" applyAlignment="1">
      <alignment horizontal="left" vertical="center"/>
    </xf>
    <xf numFmtId="0" fontId="27" fillId="0" borderId="58" xfId="0" applyFont="1" applyBorder="1" applyAlignment="1">
      <alignment horizontal="left" vertical="center"/>
    </xf>
    <xf numFmtId="0" fontId="27" fillId="0" borderId="59" xfId="0" applyFont="1" applyBorder="1" applyAlignment="1">
      <alignment horizontal="left" vertical="center"/>
    </xf>
    <xf numFmtId="3" fontId="30" fillId="0" borderId="16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3" fontId="30" fillId="0" borderId="16" xfId="0" applyNumberFormat="1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3" fontId="30" fillId="0" borderId="17" xfId="0" applyNumberFormat="1" applyFont="1" applyBorder="1" applyAlignment="1">
      <alignment horizontal="center" vertical="center"/>
    </xf>
    <xf numFmtId="3" fontId="30" fillId="0" borderId="13" xfId="0" applyNumberFormat="1" applyFont="1" applyBorder="1" applyAlignment="1">
      <alignment horizontal="center" vertical="center"/>
    </xf>
    <xf numFmtId="0" fontId="41" fillId="5" borderId="10" xfId="0" applyFont="1" applyFill="1" applyBorder="1" applyAlignment="1">
      <alignment horizontal="left" vertical="center"/>
    </xf>
    <xf numFmtId="0" fontId="41" fillId="5" borderId="11" xfId="0" applyFont="1" applyFill="1" applyBorder="1" applyAlignment="1">
      <alignment horizontal="left" vertical="center"/>
    </xf>
    <xf numFmtId="0" fontId="41" fillId="5" borderId="15" xfId="0" applyFont="1" applyFill="1" applyBorder="1" applyAlignment="1">
      <alignment horizontal="left" vertical="center"/>
    </xf>
    <xf numFmtId="0" fontId="43" fillId="0" borderId="14" xfId="0" quotePrefix="1" applyFont="1" applyBorder="1" applyAlignment="1">
      <alignment horizontal="left" vertical="center" wrapText="1"/>
    </xf>
    <xf numFmtId="0" fontId="43" fillId="0" borderId="14" xfId="0" applyFont="1" applyBorder="1" applyAlignment="1">
      <alignment horizontal="left" vertical="center"/>
    </xf>
    <xf numFmtId="14" fontId="44" fillId="0" borderId="16" xfId="0" applyNumberFormat="1" applyFont="1" applyBorder="1" applyAlignment="1">
      <alignment horizontal="center" vertical="center"/>
    </xf>
    <xf numFmtId="14" fontId="44" fillId="0" borderId="17" xfId="0" applyNumberFormat="1" applyFont="1" applyBorder="1" applyAlignment="1">
      <alignment horizontal="center" vertical="center"/>
    </xf>
    <xf numFmtId="14" fontId="44" fillId="0" borderId="13" xfId="0" applyNumberFormat="1" applyFont="1" applyBorder="1" applyAlignment="1">
      <alignment horizontal="center" vertical="center"/>
    </xf>
    <xf numFmtId="0" fontId="40" fillId="5" borderId="10" xfId="0" applyFont="1" applyFill="1" applyBorder="1" applyAlignment="1">
      <alignment horizontal="left" vertical="center"/>
    </xf>
    <xf numFmtId="0" fontId="40" fillId="5" borderId="11" xfId="0" applyFont="1" applyFill="1" applyBorder="1" applyAlignment="1">
      <alignment horizontal="left" vertical="center"/>
    </xf>
    <xf numFmtId="0" fontId="40" fillId="5" borderId="15" xfId="0" applyFont="1" applyFill="1" applyBorder="1" applyAlignment="1">
      <alignment horizontal="left" vertical="center"/>
    </xf>
    <xf numFmtId="0" fontId="44" fillId="0" borderId="16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13" borderId="16" xfId="0" applyFont="1" applyFill="1" applyBorder="1" applyAlignment="1">
      <alignment horizontal="left" vertical="center"/>
    </xf>
    <xf numFmtId="0" fontId="44" fillId="13" borderId="17" xfId="0" applyFont="1" applyFill="1" applyBorder="1" applyAlignment="1">
      <alignment horizontal="left" vertical="center"/>
    </xf>
    <xf numFmtId="0" fontId="44" fillId="13" borderId="13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3" xfId="0" quotePrefix="1" applyBorder="1" applyAlignment="1">
      <alignment horizontal="left" vertical="center"/>
    </xf>
    <xf numFmtId="0" fontId="0" fillId="0" borderId="21" xfId="0" quotePrefix="1" applyBorder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4" fillId="0" borderId="43" xfId="0" quotePrefix="1" applyFont="1" applyBorder="1" applyAlignment="1">
      <alignment horizontal="left" vertical="center"/>
    </xf>
    <xf numFmtId="0" fontId="44" fillId="0" borderId="43" xfId="0" applyFont="1" applyBorder="1" applyAlignment="1">
      <alignment horizontal="left" vertical="center"/>
    </xf>
    <xf numFmtId="0" fontId="44" fillId="0" borderId="21" xfId="0" applyFont="1" applyBorder="1" applyAlignment="1">
      <alignment horizontal="left" vertical="center"/>
    </xf>
    <xf numFmtId="0" fontId="44" fillId="0" borderId="57" xfId="0" applyFont="1" applyBorder="1" applyAlignment="1">
      <alignment horizontal="left" vertical="center"/>
    </xf>
    <xf numFmtId="0" fontId="44" fillId="0" borderId="58" xfId="0" applyFont="1" applyBorder="1" applyAlignment="1">
      <alignment horizontal="left" vertical="center"/>
    </xf>
    <xf numFmtId="0" fontId="44" fillId="0" borderId="59" xfId="0" applyFont="1" applyBorder="1" applyAlignment="1">
      <alignment horizontal="left" vertical="center"/>
    </xf>
    <xf numFmtId="0" fontId="34" fillId="10" borderId="16" xfId="0" applyFont="1" applyFill="1" applyBorder="1" applyAlignment="1">
      <alignment horizontal="center" vertical="center"/>
    </xf>
    <xf numFmtId="0" fontId="34" fillId="10" borderId="17" xfId="0" applyFont="1" applyFill="1" applyBorder="1" applyAlignment="1">
      <alignment horizontal="center" vertical="center"/>
    </xf>
    <xf numFmtId="0" fontId="34" fillId="10" borderId="13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left" vertical="center"/>
    </xf>
    <xf numFmtId="0" fontId="44" fillId="10" borderId="16" xfId="0" applyFont="1" applyFill="1" applyBorder="1" applyAlignment="1">
      <alignment horizontal="left" vertical="center"/>
    </xf>
    <xf numFmtId="0" fontId="44" fillId="10" borderId="17" xfId="0" applyFont="1" applyFill="1" applyBorder="1" applyAlignment="1">
      <alignment horizontal="left" vertical="center"/>
    </xf>
    <xf numFmtId="0" fontId="44" fillId="10" borderId="13" xfId="0" applyFont="1" applyFill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/>
    </xf>
    <xf numFmtId="0" fontId="44" fillId="10" borderId="25" xfId="0" applyFont="1" applyFill="1" applyBorder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62" fillId="6" borderId="18" xfId="0" applyFont="1" applyFill="1" applyBorder="1" applyAlignment="1">
      <alignment horizontal="center" vertical="center"/>
    </xf>
    <xf numFmtId="14" fontId="27" fillId="0" borderId="16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left" vertical="center"/>
    </xf>
    <xf numFmtId="0" fontId="21" fillId="8" borderId="1" xfId="0" applyFont="1" applyFill="1" applyBorder="1" applyAlignment="1">
      <alignment horizontal="center" vertical="center"/>
    </xf>
    <xf numFmtId="0" fontId="66" fillId="8" borderId="11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31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/>
    </xf>
    <xf numFmtId="0" fontId="20" fillId="22" borderId="2" xfId="0" applyFont="1" applyFill="1" applyBorder="1" applyAlignment="1">
      <alignment horizontal="center"/>
    </xf>
    <xf numFmtId="0" fontId="20" fillId="22" borderId="3" xfId="0" applyFont="1" applyFill="1" applyBorder="1" applyAlignment="1">
      <alignment horizontal="center"/>
    </xf>
    <xf numFmtId="0" fontId="67" fillId="3" borderId="4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5" fillId="17" borderId="40" xfId="0" applyFont="1" applyFill="1" applyBorder="1" applyAlignment="1">
      <alignment horizontal="left" vertical="center" wrapText="1"/>
    </xf>
    <xf numFmtId="0" fontId="25" fillId="17" borderId="4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0" fillId="8" borderId="56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13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27" xfId="0" applyFont="1" applyBorder="1" applyAlignment="1">
      <alignment horizontal="center" vertical="center"/>
    </xf>
    <xf numFmtId="0" fontId="49" fillId="17" borderId="27" xfId="0" applyFont="1" applyFill="1" applyBorder="1" applyAlignment="1">
      <alignment horizontal="left" vertical="center" wrapText="1"/>
    </xf>
    <xf numFmtId="0" fontId="51" fillId="17" borderId="3" xfId="0" applyFont="1" applyFill="1" applyBorder="1" applyAlignment="1">
      <alignment horizontal="center" vertical="center" wrapText="1"/>
    </xf>
    <xf numFmtId="0" fontId="51" fillId="17" borderId="31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</cellXfs>
  <cellStyles count="2">
    <cellStyle name="Bình thường" xfId="0" builtinId="0"/>
    <cellStyle name="Hyperlink" xfId="1" xr:uid="{00000000-000B-0000-0000-000008000000}"/>
  </cellStyles>
  <dxfs count="3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2F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47625</xdr:rowOff>
    </xdr:from>
    <xdr:to>
      <xdr:col>1</xdr:col>
      <xdr:colOff>1381125</xdr:colOff>
      <xdr:row>0</xdr:row>
      <xdr:rowOff>790575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7E487104-FB36-4A71-91BF-2EF77CF4C0FA}"/>
            </a:ext>
            <a:ext uri="{147F2762-F138-4A5C-976F-8EAC2B608ADB}">
              <a16:predDERef xmlns:a16="http://schemas.microsoft.com/office/drawing/2014/main" pred="{06E9AF49-80C0-42BA-9D7A-54A14AD1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47625"/>
          <a:ext cx="177165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95250</xdr:rowOff>
    </xdr:from>
    <xdr:to>
      <xdr:col>1</xdr:col>
      <xdr:colOff>1333500</xdr:colOff>
      <xdr:row>0</xdr:row>
      <xdr:rowOff>838200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1F8DD394-C244-4685-BA4E-EB5DB3CBD7E3}"/>
            </a:ext>
            <a:ext uri="{147F2762-F138-4A5C-976F-8EAC2B608ADB}">
              <a16:predDERef xmlns:a16="http://schemas.microsoft.com/office/drawing/2014/main" pred="{06E9AF49-80C0-42BA-9D7A-54A14AD1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5250"/>
          <a:ext cx="1771650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47625</xdr:rowOff>
    </xdr:from>
    <xdr:to>
      <xdr:col>1</xdr:col>
      <xdr:colOff>904875</xdr:colOff>
      <xdr:row>0</xdr:row>
      <xdr:rowOff>790575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72C03CD8-C80C-4441-AC3E-A34745C71210}"/>
            </a:ext>
            <a:ext uri="{147F2762-F138-4A5C-976F-8EAC2B608ADB}">
              <a16:predDERef xmlns:a16="http://schemas.microsoft.com/office/drawing/2014/main" pred="{06E9AF49-80C0-42BA-9D7A-54A14AD1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47625"/>
          <a:ext cx="1771650" cy="742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47625</xdr:rowOff>
    </xdr:from>
    <xdr:to>
      <xdr:col>2</xdr:col>
      <xdr:colOff>904875</xdr:colOff>
      <xdr:row>0</xdr:row>
      <xdr:rowOff>790575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9FFADE4F-076A-41EF-A586-105FE7F8D2A0}"/>
            </a:ext>
            <a:ext uri="{147F2762-F138-4A5C-976F-8EAC2B608ADB}">
              <a16:predDERef xmlns:a16="http://schemas.microsoft.com/office/drawing/2014/main" pred="{06E9AF49-80C0-42BA-9D7A-54A14AD1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47625"/>
          <a:ext cx="1771650" cy="742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76200</xdr:rowOff>
    </xdr:from>
    <xdr:to>
      <xdr:col>2</xdr:col>
      <xdr:colOff>723900</xdr:colOff>
      <xdr:row>0</xdr:row>
      <xdr:rowOff>819150</xdr:rowOff>
    </xdr:to>
    <xdr:pic>
      <xdr:nvPicPr>
        <xdr:cNvPr id="3" name="Ảnh 1">
          <a:extLst>
            <a:ext uri="{FF2B5EF4-FFF2-40B4-BE49-F238E27FC236}">
              <a16:creationId xmlns:a16="http://schemas.microsoft.com/office/drawing/2014/main" id="{2632A72B-14E8-4B25-A557-F9BE9BD63030}"/>
            </a:ext>
            <a:ext uri="{147F2762-F138-4A5C-976F-8EAC2B608ADB}">
              <a16:predDERef xmlns:a16="http://schemas.microsoft.com/office/drawing/2014/main" pred="{F0DBA685-68EF-4E88-9450-EDD18C03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76200"/>
          <a:ext cx="1371600" cy="742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123825</xdr:rowOff>
    </xdr:from>
    <xdr:to>
      <xdr:col>1</xdr:col>
      <xdr:colOff>552450</xdr:colOff>
      <xdr:row>0</xdr:row>
      <xdr:rowOff>581025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8C9639B4-3240-4DE6-81C0-6679861C211B}"/>
            </a:ext>
            <a:ext uri="{147F2762-F138-4A5C-976F-8EAC2B608ADB}">
              <a16:predDERef xmlns:a16="http://schemas.microsoft.com/office/drawing/2014/main" pred="{F6AC5709-61A0-9198-AFBB-42AE08C2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23825"/>
          <a:ext cx="923925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dayadmin.sharepoint.com/sites/NewdayHR/Shared%20Documents/HR_NEWDAYMEDIA/2.%20H&#192;NH%20CH&#205;NH/2.%20H&#192;NH%20CH&#205;NH%20V&#258;N%20PH&#210;NG/2.%20QU&#7842;N%20L&#221;%20T&#192;I%20S&#7842;N/1.%20THEO%20D&#213;I%20T&#192;I%20S&#7842;N/T&#192;I%20S&#7842;N_THI&#7870;T%20B&#7882;%20M&#193;Y%20M&#211;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691971296299" createdVersion="8" refreshedVersion="8" minRefreshableVersion="3" recordCount="89" xr:uid="{9DF277F1-E7AA-4EF8-85ED-AF16C9EC25B7}">
  <cacheSource type="worksheet">
    <worksheetSource ref="A3:H241" sheet="01. TS cố định" r:id="rId2"/>
  </cacheSource>
  <cacheFields count="8">
    <cacheField name="MÃ TS" numFmtId="0">
      <sharedItems containsBlank="1"/>
    </cacheField>
    <cacheField name="TÊN TÀI SẢN" numFmtId="0">
      <sharedItems containsBlank="1" count="47">
        <s v="Bàn làm việc mặt kính"/>
        <s v="Bàn làm việc mặt gỗ"/>
        <s v="Bàn phòng họp (dài)"/>
        <s v="Bàn phòng họp (ngắn)"/>
        <s v="Bàn đơn TBP"/>
        <s v="Bàn tiếp khách tròn mặt kính"/>
        <s v="Bàn gỗ không hộc"/>
        <s v="Bàn gỗ có hộc"/>
        <s v="Bàn làm việc TGD"/>
        <s v="Bàn tiếp khách mặt cong (màu trắng)"/>
        <s v="Bàn tròn trơn mặt gỗ (Màu trắng)"/>
        <s v="Bàn ban công"/>
        <m/>
        <s v="Ghế xoay - chân inox"/>
        <s v="Ghế xoay - chân nhựa"/>
        <s v="Ghế chân quỳ"/>
        <s v="Ghế 4 chân "/>
        <s v="Ghế gấp "/>
        <s v="Ghế tiếp khách"/>
        <s v="Ghế làm việc TGĐ"/>
        <s v="Ghế sofa"/>
        <s v="Ghế băng dài"/>
        <s v="Ghế ban công"/>
        <s v="Ghế TBP - màu trắng"/>
        <s v="Ghế TBP - màu đen"/>
        <s v="Kệ tài liệu gỗ"/>
        <s v="Tủ gỗ "/>
        <s v="Kệ sắt"/>
        <s v="Máy in"/>
        <s v="Máy scan"/>
        <s v="Máy hủy tài liệu"/>
        <s v="Tivi"/>
        <s v="Tủ lạnh"/>
        <s v="Quầy lễ tân"/>
        <s v="Cây nước (Nóng/lạnh)"/>
        <s v="Máy chiếu"/>
        <s v="Loa"/>
        <s v="Bể cá cảnh"/>
        <s v="Bộ trà ấm tiếp khách"/>
        <s v="Quạt treo tường"/>
        <s v="Quạt đứng "/>
        <s v="Camera"/>
        <s v="Đầu ghi"/>
        <s v="Máy chấm công"/>
        <s v="Máy pha cafe"/>
        <s v="Lò vi sóng"/>
        <s v="Camera chiếu tivi"/>
      </sharedItems>
    </cacheField>
    <cacheField name="VỊ TRÍ" numFmtId="0">
      <sharedItems containsBlank="1"/>
    </cacheField>
    <cacheField name="HÃNG MUA" numFmtId="0">
      <sharedItems containsBlank="1"/>
    </cacheField>
    <cacheField name="THÔNG SỐ _x000a_KĨ THUẬT" numFmtId="0">
      <sharedItems containsBlank="1"/>
    </cacheField>
    <cacheField name="MÃ SỐ _x000a_BẢO HÀNH" numFmtId="0">
      <sharedItems containsNonDate="0" containsString="0" containsBlank="1"/>
    </cacheField>
    <cacheField name="ĐƠN VỊ TÍNH" numFmtId="0">
      <sharedItems containsBlank="1"/>
    </cacheField>
    <cacheField name="SỐ LƯỢNG" numFmtId="0">
      <sharedItems containsString="0" containsBlank="1" containsNumber="1" containsInteger="1" minValue="1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TSCĐ_BANLV1_01"/>
    <x v="0"/>
    <s v="Khu vực BP Kinh doanh"/>
    <m/>
    <m/>
    <m/>
    <s v="Cái"/>
    <n v="1"/>
  </r>
  <r>
    <s v="TSCĐ_BANLV1_02"/>
    <x v="0"/>
    <s v="Khu vực BP Kinh doanh"/>
    <m/>
    <m/>
    <m/>
    <s v="Cái"/>
    <n v="1"/>
  </r>
  <r>
    <s v="TSCĐ_BANLV1_03"/>
    <x v="0"/>
    <s v="Khu vực BP Thiết kế"/>
    <m/>
    <m/>
    <m/>
    <s v="Cái"/>
    <n v="1"/>
  </r>
  <r>
    <s v="TSCĐ_BANLV1_04"/>
    <x v="0"/>
    <s v="Khu vực BP Thiết kế"/>
    <m/>
    <m/>
    <m/>
    <s v="Cái"/>
    <n v="1"/>
  </r>
  <r>
    <s v="TSCĐ_BANLV1_05"/>
    <x v="0"/>
    <s v="Khu vực BP Event"/>
    <m/>
    <m/>
    <m/>
    <s v="Cái"/>
    <n v="1"/>
  </r>
  <r>
    <s v="TSCĐ_BANLV1_06"/>
    <x v="0"/>
    <s v="Khu vực BP Event"/>
    <m/>
    <m/>
    <m/>
    <s v="Cái"/>
    <n v="1"/>
  </r>
  <r>
    <s v="TSCĐ_BANLV1_07"/>
    <x v="0"/>
    <s v="Khu vực BP Creative"/>
    <m/>
    <m/>
    <m/>
    <s v="Cái"/>
    <n v="1"/>
  </r>
  <r>
    <s v="TSCĐ_BANLV1_08"/>
    <x v="0"/>
    <s v="Khu vực BP Creative"/>
    <m/>
    <m/>
    <m/>
    <s v="Cái"/>
    <n v="1"/>
  </r>
  <r>
    <s v="TSCĐ_BANLV1_09"/>
    <x v="0"/>
    <s v="Khu vực BP MKT"/>
    <m/>
    <m/>
    <m/>
    <s v="Cái"/>
    <n v="1"/>
  </r>
  <r>
    <s v="TSCĐ_BANLV1_10"/>
    <x v="0"/>
    <s v="Khu vực BP MKT"/>
    <m/>
    <m/>
    <m/>
    <s v="Cái"/>
    <n v="1"/>
  </r>
  <r>
    <s v="TSCĐ_BANLV1_11"/>
    <x v="0"/>
    <s v="Phòng kế toán"/>
    <m/>
    <m/>
    <m/>
    <s v="Cái"/>
    <n v="1"/>
  </r>
  <r>
    <s v="TSCĐ_BANLV2_01"/>
    <x v="1"/>
    <s v="Khu vực BP Video"/>
    <m/>
    <m/>
    <m/>
    <s v="Cái"/>
    <n v="1"/>
  </r>
  <r>
    <s v="TSCĐ_BANLV2_02"/>
    <x v="1"/>
    <s v="Khu vực pantry"/>
    <m/>
    <m/>
    <m/>
    <s v="Cái"/>
    <n v="1"/>
  </r>
  <r>
    <s v="TSCĐ_BANPH_01"/>
    <x v="2"/>
    <s v="Phòng họp"/>
    <m/>
    <m/>
    <m/>
    <s v="Bộ"/>
    <n v="1"/>
  </r>
  <r>
    <s v="TSCĐ_BANPH_02"/>
    <x v="3"/>
    <s v="Phòng họp"/>
    <m/>
    <m/>
    <m/>
    <s v="Cái"/>
    <n v="6"/>
  </r>
  <r>
    <s v="TSCĐ_BANTBP_01"/>
    <x v="4"/>
    <s v="Khu vực BP Kinh doanh"/>
    <m/>
    <m/>
    <m/>
    <s v="Cái"/>
    <n v="1"/>
  </r>
  <r>
    <s v="TSCĐ_BANTBP_02"/>
    <x v="4"/>
    <s v="Khu vực BP Thiết kế"/>
    <m/>
    <m/>
    <m/>
    <s v="Cái"/>
    <n v="1"/>
  </r>
  <r>
    <s v="TSCĐ_BANTBP_03"/>
    <x v="4"/>
    <s v="Khu vực BP Event"/>
    <m/>
    <m/>
    <m/>
    <s v="Cái"/>
    <n v="1"/>
  </r>
  <r>
    <s v="TSCĐ_BANTBP_04"/>
    <x v="4"/>
    <s v="Khu vực BP Creative"/>
    <m/>
    <m/>
    <m/>
    <s v="Cái"/>
    <n v="1"/>
  </r>
  <r>
    <s v="TSCĐ_BANTBP_05"/>
    <x v="4"/>
    <s v="Khu vực BP MKT"/>
    <m/>
    <m/>
    <m/>
    <s v="Cái"/>
    <n v="1"/>
  </r>
  <r>
    <s v="TSCĐ_BANTBP_06"/>
    <x v="4"/>
    <s v="Khu vực BP Video"/>
    <m/>
    <m/>
    <m/>
    <s v="Cái"/>
    <n v="1"/>
  </r>
  <r>
    <s v="TSCĐ_BANTBP_07"/>
    <x v="4"/>
    <s v="Phòng kế toán"/>
    <m/>
    <m/>
    <m/>
    <s v="Cái"/>
    <n v="1"/>
  </r>
  <r>
    <s v="TSCĐ_BANKHAC_01"/>
    <x v="5"/>
    <s v="Khu vực pantry"/>
    <m/>
    <m/>
    <m/>
    <s v="Cái"/>
    <n v="1"/>
  </r>
  <r>
    <s v="TSCĐ_BANKHAC_02"/>
    <x v="6"/>
    <s v="Khu vực pantry"/>
    <m/>
    <m/>
    <m/>
    <s v="Cái"/>
    <n v="1"/>
  </r>
  <r>
    <s v="TSCĐ_BANKHAC_03"/>
    <x v="7"/>
    <s v="Khu vực pantry"/>
    <m/>
    <m/>
    <m/>
    <s v="Cái"/>
    <n v="1"/>
  </r>
  <r>
    <s v="TSCĐ_BANKHAC_04"/>
    <x v="8"/>
    <s v="Phòng TGĐ"/>
    <m/>
    <m/>
    <m/>
    <s v="Cái"/>
    <n v="1"/>
  </r>
  <r>
    <s v="TSCĐ_BANKHAC_05"/>
    <x v="9"/>
    <s v="Phòng TGĐ"/>
    <m/>
    <m/>
    <m/>
    <s v="Cái"/>
    <n v="1"/>
  </r>
  <r>
    <s v="TSCĐ_BANKHAC_06"/>
    <x v="10"/>
    <s v="Phòng TGĐ"/>
    <m/>
    <m/>
    <m/>
    <s v="Cái"/>
    <n v="1"/>
  </r>
  <r>
    <s v="TSCĐ_BANKHAC_07"/>
    <x v="11"/>
    <s v="Ban công"/>
    <m/>
    <m/>
    <m/>
    <s v="Bộ "/>
    <n v="1"/>
  </r>
  <r>
    <m/>
    <x v="12"/>
    <m/>
    <m/>
    <m/>
    <m/>
    <m/>
    <m/>
  </r>
  <r>
    <s v="TSCĐ_GHELV_01"/>
    <x v="13"/>
    <s v="Khu vực sảnh làm việc"/>
    <m/>
    <m/>
    <m/>
    <s v="Cái"/>
    <n v="30"/>
  </r>
  <r>
    <s v="TSCĐ_GHELV_02"/>
    <x v="14"/>
    <s v="Khu vực sảnh làm việc"/>
    <m/>
    <m/>
    <m/>
    <s v="Cái"/>
    <n v="11"/>
  </r>
  <r>
    <s v="TSCĐ_GHELV_03"/>
    <x v="15"/>
    <s v="Phòng họp"/>
    <m/>
    <m/>
    <m/>
    <s v="Cái"/>
    <n v="9"/>
  </r>
  <r>
    <s v="TSCĐ_GHELV_04"/>
    <x v="16"/>
    <s v="Phòng họp"/>
    <m/>
    <m/>
    <m/>
    <s v="Cái"/>
    <n v="12"/>
  </r>
  <r>
    <s v="TSCĐ_GHE_KHAC"/>
    <x v="17"/>
    <s v="Linh hoạt"/>
    <m/>
    <m/>
    <m/>
    <s v="Cái"/>
    <n v="14"/>
  </r>
  <r>
    <s v="TSCĐ_GHE_KHAC"/>
    <x v="18"/>
    <s v="Khu vực pantry"/>
    <m/>
    <m/>
    <m/>
    <s v="Cái"/>
    <n v="1"/>
  </r>
  <r>
    <s v="TSCĐ_GHE_KHAC"/>
    <x v="19"/>
    <s v="Phòng TGĐ"/>
    <m/>
    <m/>
    <m/>
    <s v="Cái"/>
    <n v="1"/>
  </r>
  <r>
    <s v="TSCĐ_GHE_KHAC"/>
    <x v="20"/>
    <s v="Phòng TGĐ"/>
    <m/>
    <m/>
    <m/>
    <s v="Cái"/>
    <n v="1"/>
  </r>
  <r>
    <s v="TSCĐ_GHE_KHAC"/>
    <x v="21"/>
    <s v="Khu vực sảnh làm việc"/>
    <m/>
    <m/>
    <m/>
    <s v="Cái"/>
    <n v="1"/>
  </r>
  <r>
    <s v="TSCĐ_GHE_KHAC"/>
    <x v="22"/>
    <s v="Ban công"/>
    <m/>
    <m/>
    <m/>
    <s v="Cái"/>
    <n v="6"/>
  </r>
  <r>
    <s v="TSCĐ_GHETBP_01"/>
    <x v="23"/>
    <s v="Khu vực BP Kinh doanh"/>
    <m/>
    <m/>
    <m/>
    <s v="Cái"/>
    <n v="1"/>
  </r>
  <r>
    <s v="TSCĐ_GHETBP_02"/>
    <x v="23"/>
    <s v="Khu vực BP Thiết kế"/>
    <m/>
    <m/>
    <m/>
    <s v="Cái"/>
    <n v="1"/>
  </r>
  <r>
    <s v="TSCĐ_GHETBP_03"/>
    <x v="23"/>
    <s v="Khu vực BP Event"/>
    <m/>
    <m/>
    <m/>
    <s v="Cái"/>
    <n v="1"/>
  </r>
  <r>
    <s v="TSCĐ_GHETBP_04"/>
    <x v="23"/>
    <s v="Khu vực BP Creative"/>
    <m/>
    <m/>
    <m/>
    <s v="Cái"/>
    <n v="1"/>
  </r>
  <r>
    <s v="TSCĐ_GHETBP_05"/>
    <x v="23"/>
    <s v="Khu vực BP MKT"/>
    <m/>
    <m/>
    <m/>
    <s v="Cái"/>
    <n v="1"/>
  </r>
  <r>
    <s v="TSCĐ_GHETBP_06"/>
    <x v="23"/>
    <s v="Khu vực BP Video"/>
    <m/>
    <m/>
    <m/>
    <s v="Cái"/>
    <n v="1"/>
  </r>
  <r>
    <s v="TSCĐ_GHETBP_07"/>
    <x v="23"/>
    <s v="Phòng kế toán"/>
    <m/>
    <m/>
    <m/>
    <s v="Cái"/>
    <n v="1"/>
  </r>
  <r>
    <s v="TSCĐ_GHETBP_08"/>
    <x v="23"/>
    <s v="Khu vực pantry"/>
    <m/>
    <m/>
    <m/>
    <s v="Cái"/>
    <n v="1"/>
  </r>
  <r>
    <s v="TSCĐ_GHETBP_09"/>
    <x v="24"/>
    <s v="Phòng họp"/>
    <m/>
    <m/>
    <m/>
    <s v="Cái"/>
    <n v="1"/>
  </r>
  <r>
    <s v="TSCĐ_GHETBP_10"/>
    <x v="24"/>
    <s v="Khu vực lễ tân"/>
    <m/>
    <m/>
    <m/>
    <s v="Cái"/>
    <n v="1"/>
  </r>
  <r>
    <m/>
    <x v="12"/>
    <m/>
    <m/>
    <m/>
    <m/>
    <m/>
    <m/>
  </r>
  <r>
    <s v="TSCĐ_KE_01"/>
    <x v="25"/>
    <s v="Phòng họp"/>
    <m/>
    <m/>
    <m/>
    <m/>
    <n v="2"/>
  </r>
  <r>
    <s v="TSCĐ_KE_02"/>
    <x v="25"/>
    <s v="Khu vực pantry"/>
    <m/>
    <m/>
    <m/>
    <m/>
    <n v="1"/>
  </r>
  <r>
    <s v="TSCĐ_KE_03"/>
    <x v="25"/>
    <s v="Khu vực lễ tân"/>
    <m/>
    <m/>
    <m/>
    <m/>
    <n v="2"/>
  </r>
  <r>
    <s v="TSCĐ_KE_04"/>
    <x v="25"/>
    <s v="Phòng kế toán"/>
    <m/>
    <m/>
    <m/>
    <m/>
    <n v="2"/>
  </r>
  <r>
    <s v="TSCĐ_KE_05"/>
    <x v="25"/>
    <s v="Phòng TGĐ"/>
    <m/>
    <m/>
    <m/>
    <m/>
    <n v="1"/>
  </r>
  <r>
    <s v="TSCĐ_TU_01"/>
    <x v="26"/>
    <s v="Khu vực BP MKT"/>
    <m/>
    <m/>
    <m/>
    <m/>
    <n v="1"/>
  </r>
  <r>
    <s v="TSCĐ_TU_02"/>
    <x v="26"/>
    <s v="Khu vực BP Event"/>
    <m/>
    <m/>
    <m/>
    <m/>
    <n v="1"/>
  </r>
  <r>
    <s v="TSCĐ_TU_03"/>
    <x v="26"/>
    <s v="Khu vực BP Thiết kế"/>
    <m/>
    <m/>
    <m/>
    <m/>
    <n v="1"/>
  </r>
  <r>
    <s v="TSCĐ_TU_04"/>
    <x v="26"/>
    <s v="Khu vực BP Kinh doanh"/>
    <m/>
    <m/>
    <m/>
    <m/>
    <n v="1"/>
  </r>
  <r>
    <s v="TSCĐ_KESAT_01"/>
    <x v="27"/>
    <s v="Phòng kế toán"/>
    <m/>
    <m/>
    <m/>
    <m/>
    <n v="2"/>
  </r>
  <r>
    <s v="TSCĐ_KESAT_02"/>
    <x v="27"/>
    <s v="Kho"/>
    <m/>
    <m/>
    <m/>
    <m/>
    <n v="1"/>
  </r>
  <r>
    <m/>
    <x v="12"/>
    <m/>
    <m/>
    <m/>
    <m/>
    <m/>
    <m/>
  </r>
  <r>
    <s v="TSCĐ_KHAC_01"/>
    <x v="28"/>
    <s v="Khu vực lễ tân"/>
    <m/>
    <m/>
    <m/>
    <m/>
    <n v="1"/>
  </r>
  <r>
    <s v="TSCĐ_KHAC_02"/>
    <x v="28"/>
    <s v="Phòng kế toán"/>
    <m/>
    <m/>
    <m/>
    <m/>
    <n v="1"/>
  </r>
  <r>
    <s v="TSCĐ_KHAC_03"/>
    <x v="28"/>
    <s v="Khu vực BP Kinh doanh"/>
    <m/>
    <m/>
    <m/>
    <m/>
    <n v="1"/>
  </r>
  <r>
    <s v="TSCĐ_KHAC_04"/>
    <x v="29"/>
    <s v="Phòng kế toán"/>
    <m/>
    <m/>
    <m/>
    <m/>
    <n v="1"/>
  </r>
  <r>
    <s v="TSCĐ_KHAC_05"/>
    <x v="30"/>
    <s v="Phòng kế toán"/>
    <m/>
    <m/>
    <m/>
    <m/>
    <n v="1"/>
  </r>
  <r>
    <s v="TSCĐ_KHAC_06"/>
    <x v="31"/>
    <s v="Phòng họp"/>
    <s v="ĐIỆN MÁY XANH"/>
    <s v="75 INCH"/>
    <m/>
    <s v="Cái"/>
    <n v="1"/>
  </r>
  <r>
    <s v="TSCĐ_KHAC_07"/>
    <x v="31"/>
    <s v="Khu vực pantry"/>
    <m/>
    <m/>
    <m/>
    <m/>
    <n v="1"/>
  </r>
  <r>
    <s v="TSCĐ_KHAC_08"/>
    <x v="32"/>
    <s v="Khu vực pantry"/>
    <m/>
    <m/>
    <m/>
    <m/>
    <n v="1"/>
  </r>
  <r>
    <s v="TSCĐ_KHAC_09"/>
    <x v="33"/>
    <s v="Khu vực lễ tân"/>
    <m/>
    <m/>
    <m/>
    <m/>
    <n v="1"/>
  </r>
  <r>
    <s v="TSCĐ_KHAC_10"/>
    <x v="34"/>
    <s v="Khu vực pantry"/>
    <m/>
    <m/>
    <m/>
    <m/>
    <n v="1"/>
  </r>
  <r>
    <s v="TSCĐ_KHAC_11"/>
    <x v="35"/>
    <s v="Phòng họp"/>
    <m/>
    <m/>
    <m/>
    <m/>
    <n v="1"/>
  </r>
  <r>
    <s v="TSCĐ_KHAC_12"/>
    <x v="36"/>
    <s v="Phòng họp"/>
    <m/>
    <m/>
    <m/>
    <m/>
    <n v="1"/>
  </r>
  <r>
    <s v="TSCĐ_KHAC_13"/>
    <x v="37"/>
    <s v="Phòng TGĐ"/>
    <m/>
    <m/>
    <m/>
    <m/>
    <n v="1"/>
  </r>
  <r>
    <s v="TSCĐ_KHAC_14"/>
    <x v="38"/>
    <s v="Phòng TGĐ"/>
    <m/>
    <m/>
    <m/>
    <m/>
    <n v="1"/>
  </r>
  <r>
    <s v="TSCĐ_KHAC_15"/>
    <x v="39"/>
    <s v="Khu vực sảnh làm việc"/>
    <m/>
    <m/>
    <m/>
    <m/>
    <n v="5"/>
  </r>
  <r>
    <s v="TSCĐ_KHAC_16"/>
    <x v="40"/>
    <s v="Khu vực sảnh làm việc"/>
    <m/>
    <m/>
    <m/>
    <m/>
    <n v="1"/>
  </r>
  <r>
    <s v="TSCĐ_KHAC_17"/>
    <x v="41"/>
    <s v="Phòng kế toán"/>
    <m/>
    <m/>
    <m/>
    <m/>
    <n v="1"/>
  </r>
  <r>
    <s v="TSCĐ_KHAC_18"/>
    <x v="41"/>
    <s v="Phòng họp"/>
    <m/>
    <m/>
    <m/>
    <m/>
    <n v="1"/>
  </r>
  <r>
    <s v="TSCĐ_KHAC_19"/>
    <x v="41"/>
    <s v="Khu vực sảnh làm việc"/>
    <m/>
    <m/>
    <m/>
    <m/>
    <n v="8"/>
  </r>
  <r>
    <s v="TSCĐ_KHAC_20"/>
    <x v="42"/>
    <s v="Khu vực lễ tân"/>
    <m/>
    <m/>
    <m/>
    <m/>
    <n v="1"/>
  </r>
  <r>
    <s v="TSCĐ_KHAC_21"/>
    <x v="42"/>
    <s v="Kho"/>
    <m/>
    <m/>
    <m/>
    <m/>
    <n v="1"/>
  </r>
  <r>
    <s v="TSCĐ_KHAC_22"/>
    <x v="43"/>
    <s v="Cửa chính ra vào"/>
    <m/>
    <m/>
    <m/>
    <m/>
    <n v="1"/>
  </r>
  <r>
    <s v="TSCĐ_KHAC_24"/>
    <x v="44"/>
    <s v="Khu vực pantry"/>
    <m/>
    <m/>
    <m/>
    <m/>
    <n v="1"/>
  </r>
  <r>
    <s v="TSCĐ_KHAC_25"/>
    <x v="45"/>
    <s v="Khu vực pantry"/>
    <m/>
    <m/>
    <m/>
    <m/>
    <n v="2"/>
  </r>
  <r>
    <s v="TSCĐ_KHAC_26"/>
    <x v="45"/>
    <s v="Phòng kế toán"/>
    <m/>
    <m/>
    <m/>
    <m/>
    <n v="1"/>
  </r>
  <r>
    <s v="TSCĐ_KHAC_27"/>
    <x v="46"/>
    <s v="Phòng họp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5B523-86D8-450E-8763-EE396CE64E51}" name="PivotTable1" cacheId="918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compact="0" compactData="0" multipleFieldFilters="0">
  <location ref="A3:B51" firstHeaderRow="1" firstDataRow="1" firstDataCol="1"/>
  <pivotFields count="8">
    <pivotField compact="0" outline="0" showAll="0"/>
    <pivotField axis="axisRow" compact="0" outline="0" showAll="0">
      <items count="48">
        <item x="11"/>
        <item x="4"/>
        <item x="7"/>
        <item x="6"/>
        <item x="1"/>
        <item x="0"/>
        <item x="8"/>
        <item x="2"/>
        <item x="3"/>
        <item x="9"/>
        <item x="5"/>
        <item x="10"/>
        <item x="37"/>
        <item x="38"/>
        <item x="41"/>
        <item x="46"/>
        <item x="34"/>
        <item x="42"/>
        <item x="16"/>
        <item x="22"/>
        <item x="21"/>
        <item x="15"/>
        <item x="17"/>
        <item x="19"/>
        <item x="20"/>
        <item x="24"/>
        <item x="23"/>
        <item x="18"/>
        <item x="13"/>
        <item x="14"/>
        <item x="27"/>
        <item x="25"/>
        <item x="45"/>
        <item x="36"/>
        <item x="43"/>
        <item x="35"/>
        <item x="30"/>
        <item x="28"/>
        <item x="44"/>
        <item x="29"/>
        <item x="40"/>
        <item x="39"/>
        <item x="33"/>
        <item x="31"/>
        <item x="26"/>
        <item x="32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Tổng của SỐ LƯỢNG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3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newdayadmin.sharepoint.com/:i:/s/NewdayHR/IQAB7lGtNJYHSJ4uxSNzXzGfAaWdqnn60WRpkqLDt-G-ot0?e=ZAlldU" TargetMode="External"/><Relationship Id="rId7" Type="http://schemas.openxmlformats.org/officeDocument/2006/relationships/hyperlink" Target="../../../Admin/Downloads/1517945_Phie&#204;&#130;&#204;&#129;u%20ba&#204;&#137;o%20ha&#204;&#128;nh%20SurfacePro11%20ph&#195;&#178;ng%20Creative.pdf" TargetMode="External"/><Relationship Id="rId12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7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85192%5FPhi%E1%BA%BFu%20xu%E1%BA%A5t%20kho%20ki%C3%AAm%20b%E1%BA%A3o%20h%C3%A0nh%20Macbook%20Air%20M5%20%2D%20%C4%90%E1%BB%A9c%20Ho%C3%A0ng%20P%2ECreative%2Epdf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2" Type="http://schemas.openxmlformats.org/officeDocument/2006/relationships/hyperlink" Target="https://newdayadmin.sharepoint.com/:i:/s/NewdayHR/IQC9QOg8NHknTp1XvcSgBwmeAYt9J28xzYk8PnV73bRT5iA?e=RVx5Ys" TargetMode="External"/><Relationship Id="rId16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30844%5FPhie%CC%82%CC%81u%20xua%CC%82%CC%81t%20kho%2C%20ba%CC%89o%20ha%CC%80nh%20PC%20%2D%20Duy%20Hu%CC%9Bng%20P%2Epdf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" Type="http://schemas.openxmlformats.org/officeDocument/2006/relationships/hyperlink" Target="https://newdayadmin.sharepoint.com/:i:/s/NewdayHR/IQBbhSXNknU5TJhMvZG8egDIAW9amI4nyiNhSQyBAcL9zsk?e=R45XeZ" TargetMode="External"/><Relationship Id="rId6" Type="http://schemas.openxmlformats.org/officeDocument/2006/relationships/hyperlink" Target="https://newdayadmin.sharepoint.com/:b:/s/NewdayHR/IQCgUf7BZsWPRYCg3-pVYDrwAZV2jYkdA4kZ_oHlttqTdH4?e=xxj2rH" TargetMode="External"/><Relationship Id="rId11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5" Type="http://schemas.openxmlformats.org/officeDocument/2006/relationships/hyperlink" Target="https://newdayadmin.sharepoint.com/:i:/s/NewdayHR/IQCm7kQeCB1jSq6yLBbf8OBVAeIXlbv_gLX-rxdInIdBLqE?e=1iaH83" TargetMode="External"/><Relationship Id="rId15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0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4" Type="http://schemas.openxmlformats.org/officeDocument/2006/relationships/hyperlink" Target="https://insta360.vn/wp-content/uploads/2024/05/Insta360-X4-Utility-Frame-2.png" TargetMode="External"/><Relationship Id="rId9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Relationship Id="rId14" Type="http://schemas.openxmlformats.org/officeDocument/2006/relationships/hyperlink" Target="https://newdayadmin.sharepoint.com/sites/NewdayHR/Shared%20Documents/Forms/AllItems.aspx?viewid=84951ee4%2D9d7e%2D4409%2D9541%2D0fee8df6c3b1&amp;sharingv2=true&amp;fromShare=true&amp;at=9&amp;CT=1782795504573&amp;OR=OWA%2DNT%2DMail&amp;CID=0c2a4bba%2Dfb64%2De107%2Da495%2D63c3b7930b9f&amp;SI=NonSentItems&amp;FolderCTID=0x012000781087F6F0485A448EFA5262431F6041&amp;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%2F1568389%5FPhi%E1%BA%BFu%20b%E1%BA%A3o%20h%C3%A0nh%208%20Case%20PC%2C%20Win%20Pro%2011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%2F1512%20%2D%20Nguy%E1%BB%85n%20Anh%20Tu%E1%BA%A5n%20%2D%20Ph%C3%B9ng%20V%C3%A2n%20Anh%20%2D%20P%2EVideo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&amp;p=true&amp;ct=1784280548908&amp;or=EXCEL%2DWEB%2EBODY%2ENT&amp;ga=1" TargetMode="External"/><Relationship Id="rId7" Type="http://schemas.openxmlformats.org/officeDocument/2006/relationships/hyperlink" Target="https://newdayadmin.sharepoint.com/:b:/s/NewdayHR/IQCgUf7BZsWPRYCg3-pVYDrwAZV2jYkdA4kZ_oHlttqTdH4?e=xxj2rH" TargetMode="External"/><Relationship Id="rId2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%2F1512%20%2D%20Nguy%E1%BB%85n%20Anh%20Tu%E1%BA%A5n%20%2D%20Ph%C3%B9ng%20V%C3%A2n%20Anh%20%2D%20P%2EVideo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&amp;p=true&amp;ct=1784280548908&amp;or=EXCEL%2DWEB%2EBODY%2ENT&amp;ga=1" TargetMode="External"/><Relationship Id="rId1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3%2E%20QU%E1%BA%A2N%20L%C3%9D%20T%C3%80I%20S%E1%BA%A2N%2FGI%E1%BA%A4Y%20B%E1%BA%A2O%20H%C3%80NH%20TS%2FN%C4%82M%202025&amp;viewid=84951ee4%2D9d7e%2D4409%2D9541%2D0fee8df6c3b1&amp;CT=1763118976283&amp;OR=OWA%2DNT%2DMail&amp;CID=3b9f633c%2D4395%2D3fb8%2Dfde1%2D76b2b451134e&amp;e=5%3A12c4f505e2f7429a99c49e9737cf8239&amp;sharingv2=true&amp;fromShare=true&amp;at=9&amp;FolderCTID=0x012000781087F6F0485A448EFA5262431F6041" TargetMode="External"/><Relationship Id="rId6" Type="http://schemas.openxmlformats.org/officeDocument/2006/relationships/hyperlink" Target="https://newdayadmin.sharepoint.com/:b:/s/NewdayHR/IQCyF9KgMJkwRLXW_vo3vxlNAVrXDdsI68l4lZQztZ7QL5I?e=TCSpbf" TargetMode="External"/><Relationship Id="rId5" Type="http://schemas.openxmlformats.org/officeDocument/2006/relationships/hyperlink" Target="https://newdayadmin.sharepoint.com/:i:/s/NewdayHR/IQBbhSXNknU5TJhMvZG8egDIAW9amI4nyiNhSQyBAcL9zsk?e=R45XeZ" TargetMode="External"/><Relationship Id="rId4" Type="http://schemas.openxmlformats.org/officeDocument/2006/relationships/hyperlink" Target="../../../Admin/Downloads/1517945_Phie&#204;&#130;&#204;&#129;u%20ba&#204;&#137;o%20ha&#204;&#128;nh%20SurfacePro11%20ph&#195;&#178;ng%20Creative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3%2E%20QU%E1%BA%A2N%20L%C3%9D%20T%C3%80I%20S%E1%BA%A2N%2FGI%E1%BA%A4Y%20B%E1%BA%A2O%20H%C3%80NH%20TS%2FN%C4%82M%202025&amp;viewid=84951ee4%2D9d7e%2D4409%2D9541%2D0fee8df6c3b1&amp;CT=1763118976283&amp;OR=OWA%2DNT%2DMail&amp;CID=3b9f633c%2D4395%2D3fb8%2Dfde1%2D76b2b451134e&amp;e=5%3A12c4f505e2f7429a99c49e9737cf8239&amp;sharingv2=true&amp;fromShare=true&amp;at=9&amp;FolderCTID=0x012000781087F6F0485A448EFA5262431F6041" TargetMode="External"/><Relationship Id="rId3" Type="http://schemas.openxmlformats.org/officeDocument/2006/relationships/hyperlink" Target="https://newdayadmin.sharepoint.com/:b:/s/NewdayHR/IQCyF9KgMJkwRLXW_vo3vxlNAVrXDdsI68l4lZQztZ7QL5I?e=TCSpbf" TargetMode="External"/><Relationship Id="rId7" Type="http://schemas.openxmlformats.org/officeDocument/2006/relationships/hyperlink" Target="https://newdayadmin.sharepoint.com/:i:/s/NewdayHR/IQBbhSXNknU5TJhMvZG8egDIAW9amI4nyiNhSQyBAcL9zsk?e=R45XeZ" TargetMode="External"/><Relationship Id="rId2" Type="http://schemas.openxmlformats.org/officeDocument/2006/relationships/hyperlink" Target="https://newdayadmin.sharepoint.com/:i:/s/NewdayHR/IQBbhSXNknU5TJhMvZG8egDIAW9amI4nyiNhSQyBAcL9zsk?e=R45XeZ" TargetMode="External"/><Relationship Id="rId1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3%2E%20QU%E1%BA%A2N%20L%C3%9D%20T%C3%80I%20S%E1%BA%A2N%2FGI%E1%BA%A4Y%20B%E1%BA%A2O%20H%C3%80NH%20TS%2FN%C4%82M%202025&amp;viewid=84951ee4%2D9d7e%2D4409%2D9541%2D0fee8df6c3b1&amp;CT=1763118976283&amp;OR=OWA%2DNT%2DMail&amp;CID=3b9f633c%2D4395%2D3fb8%2Dfde1%2D76b2b451134e&amp;e=5%3A12c4f505e2f7429a99c49e9737cf8239&amp;sharingv2=true&amp;fromShare=true&amp;at=9&amp;FolderCTID=0x012000781087F6F0485A448EFA5262431F6041" TargetMode="External"/><Relationship Id="rId6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3%2E%20QU%E1%BA%A2N%20L%C3%9D%20T%C3%80I%20S%E1%BA%A2N%2FGI%E1%BA%A4Y%20B%E1%BA%A2O%20H%C3%80NH%20TS%2FN%C4%82M%202025&amp;viewid=84951ee4%2D9d7e%2D4409%2D9541%2D0fee8df6c3b1&amp;CT=1763118976283&amp;OR=OWA%2DNT%2DMail&amp;CID=3b9f633c%2D4395%2D3fb8%2Dfde1%2D76b2b451134e&amp;e=5%3A12c4f505e2f7429a99c49e9737cf8239&amp;sharingv2=true&amp;fromShare=true&amp;at=9&amp;FolderCTID=0x012000781087F6F0485A448EFA5262431F6041" TargetMode="External"/><Relationship Id="rId5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%2F1512%20%2D%20Nguy%E1%BB%85n%20Anh%20Tu%E1%BA%A5n%20%2D%20Ph%C3%B9ng%20V%C3%A2n%20Anh%20%2D%20P%2EVideo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&amp;p=true&amp;ct=1784280548908&amp;or=EXCEL%2DWEB%2EBODY%2ENT&amp;ga=1" TargetMode="External"/><Relationship Id="rId4" Type="http://schemas.openxmlformats.org/officeDocument/2006/relationships/hyperlink" Target="https://newdayadmin.sharepoint.com/sites/NewdayHR/Shared%20Documents/Forms/AllItems.aspx?id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%2F1512%20%2D%20Nguy%E1%BB%85n%20Anh%20Tu%E1%BA%A5n%20%2D%20Ph%C3%B9ng%20V%C3%A2n%20Anh%20%2D%20P%2EVideo%2Ejpg&amp;parent=%2Fsites%2FNewdayHR%2FShared%20Documents%2FHR%5FNEWDAYMEDIA%2F2%2E%20H%C3%80NH%20CH%C3%8DNH%2F2%2E%20H%C3%80NH%20CH%C3%8DNH%20V%C4%82N%20PH%C3%92NG%2F2%2E%20QU%E1%BA%A2N%20L%C3%9D%20T%C3%80I%20S%E1%BA%A2N%2F1%2E%20THEO%20D%C3%95I%20T%C3%80I%20S%E1%BA%A2N%2FGI%E1%BA%A4Y%20B%E1%BA%A2O%20H%C3%80NH%20TS%2FN%C4%82M%202025&amp;p=true&amp;ct=1784280548908&amp;or=EXCEL%2DWEB%2EBODY%2ENT&amp;ga=1" TargetMode="External"/><Relationship Id="rId9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du-an2026@newdaymedia.com.vn" TargetMode="External"/><Relationship Id="rId2" Type="http://schemas.openxmlformats.org/officeDocument/2006/relationships/hyperlink" Target="mailto:phuongnt@newdaymedia.com.vn" TargetMode="External"/><Relationship Id="rId1" Type="http://schemas.openxmlformats.org/officeDocument/2006/relationships/hyperlink" Target="mailto:NewdayAdmin@NewdayAdmin.onmicrosoft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mailto:mainp@newdaymedia.com.vn" TargetMode="External"/><Relationship Id="rId21" Type="http://schemas.openxmlformats.org/officeDocument/2006/relationships/hyperlink" Target="mailto:nhungnh@newdaymedia.com.vn" TargetMode="External"/><Relationship Id="rId42" Type="http://schemas.openxmlformats.org/officeDocument/2006/relationships/hyperlink" Target="mailto:Tungtt@newdaymedia.com.vn" TargetMode="External"/><Relationship Id="rId47" Type="http://schemas.openxmlformats.org/officeDocument/2006/relationships/hyperlink" Target="mailto:Thanhnq@newdaymedia.com.vn" TargetMode="External"/><Relationship Id="rId63" Type="http://schemas.openxmlformats.org/officeDocument/2006/relationships/hyperlink" Target="mailto:Hangnd@newdaymedia.com.vn" TargetMode="External"/><Relationship Id="rId68" Type="http://schemas.openxmlformats.org/officeDocument/2006/relationships/hyperlink" Target="mailto:Linhdg@newdaymedia.com.vn" TargetMode="External"/><Relationship Id="rId84" Type="http://schemas.openxmlformats.org/officeDocument/2006/relationships/hyperlink" Target="mailto:Namtd@newdaymedia.com.vn" TargetMode="External"/><Relationship Id="rId16" Type="http://schemas.openxmlformats.org/officeDocument/2006/relationships/hyperlink" Target="mailto:Hainth@newdaymedia.com.vn" TargetMode="External"/><Relationship Id="rId11" Type="http://schemas.openxmlformats.org/officeDocument/2006/relationships/hyperlink" Target="mailto:anhnv@newdaymedia.com.vn" TargetMode="External"/><Relationship Id="rId32" Type="http://schemas.openxmlformats.org/officeDocument/2006/relationships/hyperlink" Target="mailto:Thoatt@newdaymedia.com.vn" TargetMode="External"/><Relationship Id="rId37" Type="http://schemas.openxmlformats.org/officeDocument/2006/relationships/hyperlink" Target="mailto:Linhdm@newdaymedia.com.vn" TargetMode="External"/><Relationship Id="rId53" Type="http://schemas.openxmlformats.org/officeDocument/2006/relationships/hyperlink" Target="mailto:hongducto1197@gmail.com" TargetMode="External"/><Relationship Id="rId58" Type="http://schemas.openxmlformats.org/officeDocument/2006/relationships/hyperlink" Target="mailto:nguyenthuhoai050995@gmail.com" TargetMode="External"/><Relationship Id="rId74" Type="http://schemas.openxmlformats.org/officeDocument/2006/relationships/hyperlink" Target="mailto:linhthaonguyen123@gmail.com" TargetMode="External"/><Relationship Id="rId79" Type="http://schemas.openxmlformats.org/officeDocument/2006/relationships/hyperlink" Target="mailto:Minhld@newdaymedia.com.vn" TargetMode="External"/><Relationship Id="rId5" Type="http://schemas.openxmlformats.org/officeDocument/2006/relationships/hyperlink" Target="mailto:huyenlt@newdaymedia.com.vn" TargetMode="External"/><Relationship Id="rId19" Type="http://schemas.openxmlformats.org/officeDocument/2006/relationships/hyperlink" Target="mailto:Anhpm@newdaymedia.com.vn" TargetMode="External"/><Relationship Id="rId14" Type="http://schemas.openxmlformats.org/officeDocument/2006/relationships/hyperlink" Target="mailto:thulan@newdaymedia.com.vn" TargetMode="External"/><Relationship Id="rId22" Type="http://schemas.openxmlformats.org/officeDocument/2006/relationships/hyperlink" Target="mailto:nhungpp@newdaymedia.com.vn" TargetMode="External"/><Relationship Id="rId27" Type="http://schemas.openxmlformats.org/officeDocument/2006/relationships/hyperlink" Target="mailto:ngoctb@newdaymedia.com.vn" TargetMode="External"/><Relationship Id="rId30" Type="http://schemas.openxmlformats.org/officeDocument/2006/relationships/hyperlink" Target="mailto:diepta@newdaymedia.com.vn" TargetMode="External"/><Relationship Id="rId35" Type="http://schemas.openxmlformats.org/officeDocument/2006/relationships/hyperlink" Target="mailto:Ducbh@newdaymedia.com.vn" TargetMode="External"/><Relationship Id="rId43" Type="http://schemas.openxmlformats.org/officeDocument/2006/relationships/hyperlink" Target="mailto:Duyvd@newdaymedia.com.vn" TargetMode="External"/><Relationship Id="rId48" Type="http://schemas.openxmlformats.org/officeDocument/2006/relationships/hyperlink" Target="mailto:Anhnct@newdaymedia.com.vn" TargetMode="External"/><Relationship Id="rId56" Type="http://schemas.openxmlformats.org/officeDocument/2006/relationships/hyperlink" Target="mailto:anhtuanng1710@gmail.com" TargetMode="External"/><Relationship Id="rId64" Type="http://schemas.openxmlformats.org/officeDocument/2006/relationships/hyperlink" Target="mailto:Hungnd@newdaymedia.com.vn" TargetMode="External"/><Relationship Id="rId69" Type="http://schemas.openxmlformats.org/officeDocument/2006/relationships/hyperlink" Target="mailto:Thoaht1@newdaymedia.com.vn" TargetMode="External"/><Relationship Id="rId77" Type="http://schemas.openxmlformats.org/officeDocument/2006/relationships/hyperlink" Target="mailto:hoangthoaajc@gmail.com" TargetMode="External"/><Relationship Id="rId8" Type="http://schemas.openxmlformats.org/officeDocument/2006/relationships/hyperlink" Target="mailto:huongttm@newdaymedia.com.vn" TargetMode="External"/><Relationship Id="rId51" Type="http://schemas.openxmlformats.org/officeDocument/2006/relationships/hyperlink" Target="mailto:thuyttt154154@gmail.com" TargetMode="External"/><Relationship Id="rId72" Type="http://schemas.openxmlformats.org/officeDocument/2006/relationships/hyperlink" Target="mailto:ngocvu.211299@gmail.com" TargetMode="External"/><Relationship Id="rId80" Type="http://schemas.openxmlformats.org/officeDocument/2006/relationships/hyperlink" Target="mailto:Nganvth@newdaymedia.com.vn" TargetMode="External"/><Relationship Id="rId85" Type="http://schemas.openxmlformats.org/officeDocument/2006/relationships/hyperlink" Target="mailto:Thinhlv@newdaymedia.com.vn" TargetMode="External"/><Relationship Id="rId3" Type="http://schemas.openxmlformats.org/officeDocument/2006/relationships/hyperlink" Target="mailto:dungntv@newdaymedia.com.vn" TargetMode="External"/><Relationship Id="rId12" Type="http://schemas.openxmlformats.org/officeDocument/2006/relationships/hyperlink" Target="mailto:vananhnguy.work@gmail.com" TargetMode="External"/><Relationship Id="rId17" Type="http://schemas.openxmlformats.org/officeDocument/2006/relationships/hyperlink" Target="mailto:Ngocnp@newdaymedia.com.vn" TargetMode="External"/><Relationship Id="rId25" Type="http://schemas.openxmlformats.org/officeDocument/2006/relationships/hyperlink" Target="mailto:tuepa@newdaymedia.com.vn" TargetMode="External"/><Relationship Id="rId33" Type="http://schemas.openxmlformats.org/officeDocument/2006/relationships/hyperlink" Target="mailto:Linhng@newdaymedia.com.vn" TargetMode="External"/><Relationship Id="rId38" Type="http://schemas.openxmlformats.org/officeDocument/2006/relationships/hyperlink" Target="mailto:Hueptk@newdaymedia.com.vn" TargetMode="External"/><Relationship Id="rId46" Type="http://schemas.openxmlformats.org/officeDocument/2006/relationships/hyperlink" Target="mailto:Vanlth@newdaymedia.com.vn" TargetMode="External"/><Relationship Id="rId59" Type="http://schemas.openxmlformats.org/officeDocument/2006/relationships/hyperlink" Target="mailto:huuduc3003@gmail.com" TargetMode="External"/><Relationship Id="rId67" Type="http://schemas.openxmlformats.org/officeDocument/2006/relationships/hyperlink" Target="mailto:Tungdd@newdaymedia.com.vn" TargetMode="External"/><Relationship Id="rId20" Type="http://schemas.openxmlformats.org/officeDocument/2006/relationships/hyperlink" Target="mailto:thaoqp@newdaymedia.com.vn" TargetMode="External"/><Relationship Id="rId41" Type="http://schemas.openxmlformats.org/officeDocument/2006/relationships/hyperlink" Target="mailto:Ducth@newdaymedia.com.vn" TargetMode="External"/><Relationship Id="rId54" Type="http://schemas.openxmlformats.org/officeDocument/2006/relationships/hyperlink" Target="mailto:duyvd101@gmail.com" TargetMode="External"/><Relationship Id="rId62" Type="http://schemas.openxmlformats.org/officeDocument/2006/relationships/hyperlink" Target="mailto:Linhntt@newdaymedia.com.vn" TargetMode="External"/><Relationship Id="rId70" Type="http://schemas.openxmlformats.org/officeDocument/2006/relationships/hyperlink" Target="mailto:Anhht@newdaymedia.com.vn" TargetMode="External"/><Relationship Id="rId75" Type="http://schemas.openxmlformats.org/officeDocument/2006/relationships/hyperlink" Target="mailto:nguyenngochuyen7219@gmail.com" TargetMode="External"/><Relationship Id="rId83" Type="http://schemas.openxmlformats.org/officeDocument/2006/relationships/hyperlink" Target="mailto:Huyennt1@newdaymedia.com.vn" TargetMode="External"/><Relationship Id="rId1" Type="http://schemas.openxmlformats.org/officeDocument/2006/relationships/hyperlink" Target="mailto:hangbtl@newdaymedia.com.vn" TargetMode="External"/><Relationship Id="rId6" Type="http://schemas.openxmlformats.org/officeDocument/2006/relationships/hyperlink" Target="mailto:khoiplm@newdaymedia.com.vn" TargetMode="External"/><Relationship Id="rId15" Type="http://schemas.openxmlformats.org/officeDocument/2006/relationships/hyperlink" Target="mailto:anhpn@newdaymedia.com.vn" TargetMode="External"/><Relationship Id="rId23" Type="http://schemas.openxmlformats.org/officeDocument/2006/relationships/hyperlink" Target="mailto:hadt@newdaymedia.com.vn" TargetMode="External"/><Relationship Id="rId28" Type="http://schemas.openxmlformats.org/officeDocument/2006/relationships/hyperlink" Target="mailto:Ngantq@newdaymedia.com.vn" TargetMode="External"/><Relationship Id="rId36" Type="http://schemas.openxmlformats.org/officeDocument/2006/relationships/hyperlink" Target="mailto:Giangnt@newdaymedia.com.vn" TargetMode="External"/><Relationship Id="rId49" Type="http://schemas.openxmlformats.org/officeDocument/2006/relationships/hyperlink" Target="mailto:Daint@newdaymedia.com.vn" TargetMode="External"/><Relationship Id="rId57" Type="http://schemas.openxmlformats.org/officeDocument/2006/relationships/hyperlink" Target="mailto:vaphvng@gmail.com" TargetMode="External"/><Relationship Id="rId10" Type="http://schemas.openxmlformats.org/officeDocument/2006/relationships/hyperlink" Target="mailto:vynt@newdaymedia.com.vn" TargetMode="External"/><Relationship Id="rId31" Type="http://schemas.openxmlformats.org/officeDocument/2006/relationships/hyperlink" Target="mailto:huyentt@newdaymedia.com.vn" TargetMode="External"/><Relationship Id="rId44" Type="http://schemas.openxmlformats.org/officeDocument/2006/relationships/hyperlink" Target="mailto:huongnm@newdaymedia.com.vn" TargetMode="External"/><Relationship Id="rId52" Type="http://schemas.openxmlformats.org/officeDocument/2006/relationships/hyperlink" Target="mailto:thugiangnguyen.event@gmail.com" TargetMode="External"/><Relationship Id="rId60" Type="http://schemas.openxmlformats.org/officeDocument/2006/relationships/hyperlink" Target="mailto:thoatt1997@gmail.com" TargetMode="External"/><Relationship Id="rId65" Type="http://schemas.openxmlformats.org/officeDocument/2006/relationships/hyperlink" Target="mailto:Huyennn@newdaymedia.com.vn" TargetMode="External"/><Relationship Id="rId73" Type="http://schemas.openxmlformats.org/officeDocument/2006/relationships/hyperlink" Target="mailto:gialinhdao20122004@gmail.com" TargetMode="External"/><Relationship Id="rId78" Type="http://schemas.openxmlformats.org/officeDocument/2006/relationships/hyperlink" Target="mailto:Khanhvn@newdaymedia.com.vn" TargetMode="External"/><Relationship Id="rId81" Type="http://schemas.openxmlformats.org/officeDocument/2006/relationships/hyperlink" Target="mailto:congnt@newdaymedia.com.vn" TargetMode="External"/><Relationship Id="rId86" Type="http://schemas.openxmlformats.org/officeDocument/2006/relationships/hyperlink" Target="mailto:Quynhkn@newdaymedia.com.vn" TargetMode="External"/><Relationship Id="rId4" Type="http://schemas.openxmlformats.org/officeDocument/2006/relationships/hyperlink" Target="mailto:hant@newdaymedia.com.vn" TargetMode="External"/><Relationship Id="rId9" Type="http://schemas.openxmlformats.org/officeDocument/2006/relationships/hyperlink" Target="mailto:vink@newdaymedia.com.vn" TargetMode="External"/><Relationship Id="rId13" Type="http://schemas.openxmlformats.org/officeDocument/2006/relationships/hyperlink" Target="mailto:khanhbang@newdaymedia.com.vn" TargetMode="External"/><Relationship Id="rId18" Type="http://schemas.openxmlformats.org/officeDocument/2006/relationships/hyperlink" Target="mailto:anhnp@newdaymedia.com.vn" TargetMode="External"/><Relationship Id="rId39" Type="http://schemas.openxmlformats.org/officeDocument/2006/relationships/hyperlink" Target="mailto:Tuanna@newdaymedia.com.vn" TargetMode="External"/><Relationship Id="rId34" Type="http://schemas.openxmlformats.org/officeDocument/2006/relationships/hyperlink" Target="mailto:Hoaintt@newdaymedia.com.vn" TargetMode="External"/><Relationship Id="rId50" Type="http://schemas.openxmlformats.org/officeDocument/2006/relationships/hyperlink" Target="mailto:vannle7102003@gmail.com" TargetMode="External"/><Relationship Id="rId55" Type="http://schemas.openxmlformats.org/officeDocument/2006/relationships/hyperlink" Target="mailto:thanhnguyenquang12@gmail.com" TargetMode="External"/><Relationship Id="rId76" Type="http://schemas.openxmlformats.org/officeDocument/2006/relationships/hyperlink" Target="mailto:tungdd1.hn@gmail.com" TargetMode="External"/><Relationship Id="rId7" Type="http://schemas.openxmlformats.org/officeDocument/2006/relationships/hyperlink" Target="mailto:minhnt@newdaymedia.com.vn" TargetMode="External"/><Relationship Id="rId71" Type="http://schemas.openxmlformats.org/officeDocument/2006/relationships/hyperlink" Target="mailto:duyhung.vfx@gmail.com" TargetMode="External"/><Relationship Id="rId2" Type="http://schemas.openxmlformats.org/officeDocument/2006/relationships/hyperlink" Target="mailto:thuha@newdaymedia.com.vn" TargetMode="External"/><Relationship Id="rId29" Type="http://schemas.openxmlformats.org/officeDocument/2006/relationships/hyperlink" Target="mailto:Linhntt@newdaymedia.com.vn" TargetMode="External"/><Relationship Id="rId24" Type="http://schemas.openxmlformats.org/officeDocument/2006/relationships/hyperlink" Target="mailto:giangnth@newdaymedia.com.vn" TargetMode="External"/><Relationship Id="rId40" Type="http://schemas.openxmlformats.org/officeDocument/2006/relationships/hyperlink" Target="mailto:Anhpv@newdaymedia.com.vn" TargetMode="External"/><Relationship Id="rId45" Type="http://schemas.openxmlformats.org/officeDocument/2006/relationships/hyperlink" Target="mailto:Thuyttt@newdaymedia.com.vn" TargetMode="External"/><Relationship Id="rId66" Type="http://schemas.openxmlformats.org/officeDocument/2006/relationships/hyperlink" Target="mailto:Ngocvtb@newdaymedia.com.vn" TargetMode="External"/><Relationship Id="rId61" Type="http://schemas.openxmlformats.org/officeDocument/2006/relationships/hyperlink" Target="mailto:dolinh22897@gmail.com" TargetMode="External"/><Relationship Id="rId82" Type="http://schemas.openxmlformats.org/officeDocument/2006/relationships/hyperlink" Target="mailto:Tranghtt@newdaymedia.com.v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>
      <selection activeCell="A29" sqref="A29"/>
    </sheetView>
  </sheetViews>
  <sheetFormatPr defaultColWidth="9.28515625" defaultRowHeight="14.25" customHeight="1"/>
  <cols>
    <col min="1" max="1" width="29.42578125" style="75" customWidth="1"/>
    <col min="2" max="3" width="25.5703125" style="75" customWidth="1"/>
    <col min="4" max="7" width="10.5703125" style="75" customWidth="1"/>
    <col min="8" max="8" width="10.5703125" style="79" customWidth="1"/>
    <col min="9" max="11" width="21.85546875" style="75" customWidth="1"/>
    <col min="12" max="13" width="10.5703125" style="75" customWidth="1"/>
    <col min="14" max="16" width="21.85546875" style="75" customWidth="1"/>
    <col min="17" max="16384" width="9.28515625" style="75"/>
  </cols>
  <sheetData>
    <row r="1" spans="1:16" s="73" customFormat="1" ht="3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7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</row>
    <row r="2" spans="1:16" ht="15">
      <c r="A2" s="74"/>
      <c r="B2" s="74"/>
      <c r="C2" s="74"/>
      <c r="D2" s="74"/>
      <c r="E2" s="74"/>
      <c r="F2" s="74"/>
      <c r="G2" s="74"/>
      <c r="H2" s="78"/>
      <c r="I2" s="74"/>
      <c r="J2" s="74"/>
      <c r="K2" s="74"/>
      <c r="L2" s="74"/>
      <c r="M2" s="74"/>
      <c r="N2" s="74"/>
      <c r="O2" s="74"/>
      <c r="P2" s="74"/>
    </row>
    <row r="3" spans="1:16" ht="15">
      <c r="A3" s="74"/>
      <c r="B3" s="74"/>
      <c r="C3" s="74"/>
      <c r="D3" s="74"/>
      <c r="E3" s="74"/>
      <c r="F3" s="74"/>
      <c r="G3" s="74"/>
      <c r="H3" s="78"/>
      <c r="I3" s="74"/>
      <c r="J3" s="74"/>
      <c r="K3" s="74"/>
      <c r="L3" s="74"/>
      <c r="M3" s="74"/>
      <c r="N3" s="74"/>
      <c r="O3" s="74"/>
      <c r="P3" s="74"/>
    </row>
    <row r="4" spans="1:16" ht="15">
      <c r="A4" s="74"/>
      <c r="B4" s="74"/>
      <c r="C4" s="74"/>
      <c r="D4" s="74"/>
      <c r="E4" s="74"/>
      <c r="F4" s="74"/>
      <c r="G4" s="74"/>
      <c r="H4" s="78"/>
      <c r="I4" s="74"/>
      <c r="J4" s="74"/>
      <c r="K4" s="74"/>
      <c r="L4" s="74"/>
      <c r="M4" s="74"/>
      <c r="N4" s="74"/>
      <c r="O4" s="74"/>
      <c r="P4" s="74"/>
    </row>
    <row r="5" spans="1:16" ht="15">
      <c r="A5" s="74"/>
      <c r="B5" s="74"/>
      <c r="C5" s="74"/>
      <c r="D5" s="74"/>
      <c r="E5" s="74"/>
      <c r="F5" s="74"/>
      <c r="G5" s="74"/>
      <c r="H5" s="78"/>
      <c r="I5" s="74"/>
      <c r="J5" s="74"/>
      <c r="K5" s="74"/>
      <c r="L5" s="74"/>
      <c r="M5" s="74"/>
      <c r="N5" s="74"/>
      <c r="O5" s="74"/>
      <c r="P5" s="74"/>
    </row>
    <row r="6" spans="1:16" ht="15">
      <c r="A6" s="74"/>
      <c r="B6" s="74"/>
      <c r="C6" s="74"/>
      <c r="D6" s="74"/>
      <c r="E6" s="74"/>
      <c r="F6" s="74"/>
      <c r="G6" s="74"/>
      <c r="H6" s="78">
        <v>2</v>
      </c>
      <c r="I6" s="74"/>
      <c r="J6" s="74"/>
      <c r="K6" s="74"/>
      <c r="L6" s="74"/>
      <c r="M6" s="74"/>
      <c r="N6" s="74"/>
      <c r="O6" s="74"/>
      <c r="P6" s="74"/>
    </row>
    <row r="7" spans="1:16" ht="15">
      <c r="A7" s="74"/>
      <c r="B7" s="74"/>
      <c r="C7" s="74"/>
      <c r="D7" s="74"/>
      <c r="E7" s="74"/>
      <c r="F7" s="74"/>
      <c r="G7" s="74"/>
      <c r="H7" s="78">
        <v>2</v>
      </c>
      <c r="I7" s="74"/>
      <c r="J7" s="74"/>
      <c r="K7" s="74"/>
      <c r="L7" s="74"/>
      <c r="M7" s="74"/>
      <c r="N7" s="74"/>
      <c r="O7" s="74"/>
      <c r="P7" s="74"/>
    </row>
    <row r="8" spans="1:16" ht="15">
      <c r="A8" s="80"/>
      <c r="B8" s="74"/>
      <c r="C8" s="74"/>
      <c r="D8" s="74"/>
      <c r="E8" s="74"/>
      <c r="F8" s="74"/>
      <c r="G8" s="74"/>
      <c r="H8" s="78"/>
      <c r="I8" s="74"/>
      <c r="J8" s="74"/>
      <c r="K8" s="74"/>
      <c r="L8" s="74"/>
      <c r="M8" s="74"/>
      <c r="N8" s="74"/>
      <c r="O8" s="74"/>
      <c r="P8" s="74"/>
    </row>
    <row r="9" spans="1:16" ht="15">
      <c r="A9" s="80"/>
      <c r="B9" s="74"/>
      <c r="C9" s="74"/>
      <c r="D9" s="74"/>
      <c r="E9" s="74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</row>
    <row r="10" spans="1:16" ht="15">
      <c r="A10" s="80"/>
      <c r="B10" s="74"/>
      <c r="C10" s="74"/>
      <c r="D10" s="74"/>
      <c r="E10" s="74"/>
      <c r="F10" s="74"/>
      <c r="G10" s="74"/>
      <c r="H10" s="78"/>
      <c r="I10" s="74"/>
      <c r="J10" s="74"/>
      <c r="K10" s="74"/>
      <c r="L10" s="74"/>
      <c r="M10" s="74"/>
      <c r="N10" s="74"/>
      <c r="O10" s="74"/>
      <c r="P10" s="74"/>
    </row>
    <row r="11" spans="1:16" ht="15">
      <c r="A11" s="80"/>
      <c r="B11" s="74"/>
      <c r="C11" s="74"/>
      <c r="D11" s="74"/>
      <c r="E11" s="74"/>
      <c r="F11" s="74"/>
      <c r="G11" s="74"/>
      <c r="H11" s="78"/>
      <c r="I11" s="74"/>
      <c r="J11" s="74"/>
      <c r="K11" s="74"/>
      <c r="L11" s="74"/>
      <c r="M11" s="74"/>
      <c r="N11" s="74"/>
      <c r="O11" s="74"/>
      <c r="P11" s="74"/>
    </row>
    <row r="12" spans="1:16" ht="15">
      <c r="A12" s="80"/>
      <c r="B12" s="74"/>
      <c r="C12" s="74"/>
      <c r="D12" s="74"/>
      <c r="E12" s="74"/>
      <c r="F12" s="74"/>
      <c r="G12" s="74"/>
      <c r="H12" s="78"/>
      <c r="I12" s="74"/>
      <c r="J12" s="74"/>
      <c r="K12" s="74"/>
      <c r="L12" s="74"/>
      <c r="M12" s="74"/>
      <c r="N12" s="74"/>
      <c r="O12" s="74"/>
      <c r="P12" s="74"/>
    </row>
    <row r="13" spans="1:16" ht="15">
      <c r="A13" s="80"/>
      <c r="B13" s="74"/>
      <c r="C13" s="74"/>
      <c r="D13" s="74"/>
      <c r="E13" s="74"/>
      <c r="F13" s="74"/>
      <c r="G13" s="74"/>
      <c r="H13" s="78"/>
      <c r="I13" s="74"/>
      <c r="J13" s="74"/>
      <c r="K13" s="74"/>
      <c r="L13" s="74"/>
      <c r="M13" s="74"/>
      <c r="N13" s="74"/>
      <c r="O13" s="74"/>
      <c r="P13" s="74"/>
    </row>
    <row r="14" spans="1:16" ht="15">
      <c r="A14" s="80"/>
      <c r="B14" s="74"/>
      <c r="C14" s="74"/>
      <c r="D14" s="74"/>
      <c r="E14" s="74"/>
      <c r="F14" s="74"/>
      <c r="G14" s="74"/>
      <c r="H14" s="78"/>
      <c r="I14" s="74"/>
      <c r="J14" s="74"/>
      <c r="K14" s="74"/>
      <c r="L14" s="74"/>
      <c r="M14" s="74"/>
      <c r="N14" s="74"/>
      <c r="O14" s="74"/>
      <c r="P14" s="74"/>
    </row>
    <row r="15" spans="1:16" ht="15">
      <c r="A15" s="80"/>
      <c r="B15" s="74"/>
      <c r="C15" s="74"/>
      <c r="D15" s="74"/>
      <c r="E15" s="74"/>
      <c r="F15" s="74"/>
      <c r="G15" s="74"/>
      <c r="H15" s="78"/>
      <c r="I15" s="74"/>
      <c r="J15" s="74"/>
      <c r="K15" s="74"/>
      <c r="L15" s="74"/>
      <c r="M15" s="74"/>
      <c r="N15" s="74"/>
      <c r="O15" s="74"/>
      <c r="P15" s="74"/>
    </row>
    <row r="16" spans="1:16" ht="15">
      <c r="A16" s="80"/>
      <c r="B16" s="74"/>
      <c r="C16" s="74"/>
      <c r="D16" s="74"/>
      <c r="E16" s="74"/>
      <c r="F16" s="74"/>
      <c r="G16" s="74"/>
      <c r="H16" s="78"/>
      <c r="I16" s="74"/>
      <c r="J16" s="74"/>
      <c r="K16" s="74"/>
      <c r="L16" s="74"/>
      <c r="M16" s="74"/>
      <c r="N16" s="74"/>
      <c r="O16" s="74"/>
      <c r="P16" s="74"/>
    </row>
    <row r="17" spans="1:16" ht="15">
      <c r="A17" s="80"/>
      <c r="B17" s="74"/>
      <c r="C17" s="74"/>
      <c r="D17" s="74"/>
      <c r="E17" s="74"/>
      <c r="F17" s="74"/>
      <c r="G17" s="74"/>
      <c r="H17" s="78"/>
      <c r="I17" s="74"/>
      <c r="J17" s="74"/>
      <c r="K17" s="74"/>
      <c r="L17" s="74"/>
      <c r="M17" s="74"/>
      <c r="N17" s="74"/>
      <c r="O17" s="74"/>
      <c r="P17" s="74"/>
    </row>
    <row r="18" spans="1:16" ht="15">
      <c r="A18" s="80"/>
      <c r="B18" s="74"/>
      <c r="C18" s="74"/>
      <c r="D18" s="74"/>
      <c r="E18" s="74"/>
      <c r="F18" s="74"/>
      <c r="G18" s="74"/>
      <c r="H18" s="78"/>
      <c r="I18" s="74"/>
      <c r="J18" s="74"/>
      <c r="K18" s="74"/>
      <c r="L18" s="74"/>
      <c r="M18" s="74"/>
      <c r="N18" s="74"/>
      <c r="O18" s="74"/>
      <c r="P18" s="74"/>
    </row>
    <row r="19" spans="1:16" ht="15">
      <c r="A19" s="80"/>
      <c r="B19" s="74"/>
      <c r="C19" s="74"/>
      <c r="D19" s="74"/>
      <c r="E19" s="74"/>
      <c r="F19" s="74"/>
      <c r="G19" s="74"/>
      <c r="H19" s="78"/>
      <c r="I19" s="74"/>
      <c r="J19" s="74"/>
      <c r="K19" s="74"/>
      <c r="L19" s="74"/>
      <c r="M19" s="74"/>
      <c r="N19" s="74"/>
      <c r="O19" s="74"/>
      <c r="P19" s="74"/>
    </row>
    <row r="20" spans="1:16" ht="15">
      <c r="A20" s="80"/>
      <c r="B20" s="74"/>
      <c r="C20" s="74"/>
      <c r="D20" s="74"/>
      <c r="E20" s="74"/>
      <c r="F20" s="74"/>
      <c r="G20" s="74"/>
      <c r="H20" s="78"/>
      <c r="I20" s="74"/>
      <c r="J20" s="74"/>
      <c r="K20" s="74"/>
      <c r="L20" s="74"/>
      <c r="M20" s="74"/>
      <c r="N20" s="74"/>
      <c r="O20" s="74"/>
      <c r="P20" s="74"/>
    </row>
    <row r="21" spans="1:16" ht="15">
      <c r="A21" s="80"/>
      <c r="B21" s="74"/>
      <c r="C21" s="74"/>
      <c r="D21" s="74"/>
      <c r="E21" s="74"/>
      <c r="F21" s="74"/>
      <c r="G21" s="74"/>
      <c r="H21" s="78"/>
      <c r="I21" s="74"/>
      <c r="J21" s="74"/>
      <c r="K21" s="74"/>
      <c r="L21" s="74"/>
      <c r="M21" s="74"/>
      <c r="N21" s="74"/>
      <c r="O21" s="74"/>
      <c r="P21" s="74"/>
    </row>
    <row r="22" spans="1:16" ht="15">
      <c r="A22" s="80"/>
      <c r="B22" s="74"/>
      <c r="C22" s="74"/>
      <c r="D22" s="74"/>
      <c r="E22" s="74"/>
      <c r="F22" s="74"/>
      <c r="G22" s="74"/>
      <c r="H22" s="78"/>
      <c r="I22" s="74"/>
      <c r="J22" s="74"/>
      <c r="K22" s="74"/>
      <c r="L22" s="74"/>
      <c r="M22" s="74"/>
      <c r="N22" s="74"/>
      <c r="O22" s="74"/>
      <c r="P22" s="74"/>
    </row>
    <row r="23" spans="1:16" ht="15">
      <c r="A23" s="80"/>
      <c r="B23" s="74"/>
      <c r="C23" s="74"/>
      <c r="D23" s="74"/>
      <c r="E23" s="74"/>
      <c r="F23" s="74"/>
      <c r="G23" s="74"/>
      <c r="H23" s="78"/>
      <c r="I23" s="74"/>
      <c r="J23" s="74"/>
      <c r="K23" s="74"/>
      <c r="L23" s="74"/>
      <c r="M23" s="74"/>
      <c r="N23" s="74"/>
      <c r="O23" s="74"/>
      <c r="P23" s="74"/>
    </row>
    <row r="24" spans="1:16" ht="15">
      <c r="A24" s="80"/>
      <c r="B24" s="74"/>
      <c r="C24" s="74"/>
      <c r="D24" s="74"/>
      <c r="E24" s="74"/>
      <c r="F24" s="74"/>
      <c r="G24" s="74"/>
      <c r="H24" s="78"/>
      <c r="I24" s="74"/>
      <c r="J24" s="74"/>
      <c r="K24" s="74"/>
      <c r="L24" s="74"/>
      <c r="M24" s="74"/>
      <c r="N24" s="74"/>
      <c r="O24" s="74"/>
      <c r="P24" s="74"/>
    </row>
    <row r="25" spans="1:16" ht="15">
      <c r="A25" s="80"/>
      <c r="B25" s="74"/>
      <c r="C25" s="74"/>
      <c r="D25" s="74"/>
      <c r="E25" s="74"/>
      <c r="F25" s="74"/>
      <c r="G25" s="74"/>
      <c r="H25" s="78"/>
      <c r="I25" s="74"/>
      <c r="J25" s="74"/>
      <c r="K25" s="74"/>
      <c r="L25" s="74"/>
      <c r="M25" s="74"/>
      <c r="N25" s="74"/>
      <c r="O25" s="74"/>
      <c r="P25" s="74"/>
    </row>
    <row r="26" spans="1:16" ht="15">
      <c r="A26" s="80"/>
      <c r="B26" s="74"/>
      <c r="C26" s="74"/>
      <c r="D26" s="74"/>
      <c r="E26" s="74"/>
      <c r="F26" s="74"/>
      <c r="G26" s="74"/>
      <c r="H26" s="78"/>
      <c r="I26" s="74"/>
      <c r="J26" s="74"/>
      <c r="K26" s="74"/>
      <c r="L26" s="74"/>
      <c r="M26" s="74"/>
      <c r="N26" s="74"/>
      <c r="O26" s="74"/>
      <c r="P26" s="74"/>
    </row>
    <row r="27" spans="1:16" ht="15">
      <c r="A27" s="33"/>
      <c r="B27" s="74"/>
      <c r="C27" s="74"/>
      <c r="D27" s="74"/>
      <c r="E27" s="74"/>
      <c r="F27" s="74"/>
      <c r="G27" s="74"/>
      <c r="H27" s="78"/>
      <c r="I27" s="74"/>
      <c r="J27" s="74"/>
      <c r="K27" s="74"/>
      <c r="L27" s="74"/>
      <c r="M27" s="74"/>
      <c r="N27" s="74"/>
      <c r="O27" s="74"/>
      <c r="P27" s="74"/>
    </row>
    <row r="28" spans="1:16" ht="15">
      <c r="A28" s="33"/>
      <c r="B28" s="74"/>
      <c r="C28" s="74"/>
      <c r="D28" s="74"/>
      <c r="E28" s="74"/>
      <c r="F28" s="74"/>
      <c r="G28" s="74"/>
      <c r="H28" s="78"/>
      <c r="I28" s="74"/>
      <c r="J28" s="74"/>
      <c r="K28" s="74"/>
      <c r="L28" s="74"/>
      <c r="M28" s="74"/>
      <c r="N28" s="74"/>
      <c r="O28" s="74"/>
      <c r="P28" s="74"/>
    </row>
    <row r="29" spans="1:16" ht="15">
      <c r="A29" s="33"/>
      <c r="B29" s="74"/>
      <c r="C29" s="74"/>
      <c r="D29" s="74"/>
      <c r="E29" s="74"/>
      <c r="F29" s="74"/>
      <c r="G29" s="74"/>
      <c r="H29" s="78"/>
      <c r="I29" s="74"/>
      <c r="J29" s="74"/>
      <c r="K29" s="74"/>
      <c r="L29" s="74"/>
      <c r="M29" s="74"/>
      <c r="N29" s="74"/>
      <c r="O29" s="74"/>
      <c r="P29" s="74"/>
    </row>
    <row r="30" spans="1:16" ht="15">
      <c r="A30" s="33"/>
      <c r="B30" s="74"/>
      <c r="C30" s="74"/>
      <c r="D30" s="74"/>
      <c r="E30" s="74"/>
      <c r="F30" s="74"/>
      <c r="G30" s="74"/>
      <c r="H30" s="78"/>
      <c r="I30" s="74"/>
      <c r="J30" s="74"/>
      <c r="K30" s="74"/>
      <c r="L30" s="74"/>
      <c r="M30" s="74"/>
      <c r="N30" s="74"/>
      <c r="O30" s="74"/>
      <c r="P30" s="74"/>
    </row>
    <row r="31" spans="1:16" ht="15">
      <c r="A31" s="33"/>
      <c r="B31" s="74"/>
      <c r="C31" s="74"/>
      <c r="D31" s="74"/>
      <c r="E31" s="74"/>
      <c r="F31" s="74"/>
      <c r="G31" s="74"/>
      <c r="H31" s="78"/>
      <c r="I31" s="74"/>
      <c r="J31" s="74"/>
      <c r="K31" s="74"/>
      <c r="L31" s="74"/>
      <c r="M31" s="74"/>
      <c r="N31" s="74"/>
      <c r="O31" s="74"/>
      <c r="P31" s="74"/>
    </row>
    <row r="32" spans="1:16" ht="15">
      <c r="A32" s="33"/>
      <c r="B32" s="74"/>
      <c r="C32" s="74"/>
      <c r="D32" s="74"/>
      <c r="E32" s="74"/>
      <c r="F32" s="74"/>
      <c r="G32" s="74"/>
      <c r="H32" s="78"/>
      <c r="I32" s="74"/>
      <c r="J32" s="74"/>
      <c r="K32" s="74"/>
      <c r="L32" s="74"/>
      <c r="M32" s="74"/>
      <c r="N32" s="74"/>
      <c r="O32" s="74"/>
      <c r="P32" s="74"/>
    </row>
    <row r="33" spans="1:16" ht="15">
      <c r="A33" s="33"/>
      <c r="B33" s="74"/>
      <c r="C33" s="74"/>
      <c r="D33" s="74"/>
      <c r="E33" s="74"/>
      <c r="F33" s="74"/>
      <c r="G33" s="74"/>
      <c r="H33" s="78"/>
      <c r="I33" s="74"/>
      <c r="J33" s="74"/>
      <c r="K33" s="74"/>
      <c r="L33" s="74"/>
      <c r="M33" s="74"/>
      <c r="N33" s="74"/>
      <c r="O33" s="74"/>
      <c r="P33" s="74"/>
    </row>
    <row r="34" spans="1:16" ht="15">
      <c r="A34" s="33"/>
      <c r="B34" s="74"/>
      <c r="C34" s="74"/>
      <c r="D34" s="74"/>
      <c r="E34" s="74"/>
      <c r="F34" s="74"/>
      <c r="G34" s="74"/>
      <c r="H34" s="78"/>
      <c r="I34" s="74"/>
      <c r="J34" s="74"/>
      <c r="K34" s="74"/>
      <c r="L34" s="74"/>
      <c r="M34" s="74"/>
      <c r="N34" s="74"/>
      <c r="O34" s="74"/>
      <c r="P34" s="74"/>
    </row>
    <row r="35" spans="1:16" ht="15">
      <c r="A35" s="33"/>
      <c r="B35" s="74"/>
      <c r="C35" s="74"/>
      <c r="D35" s="74"/>
      <c r="E35" s="74"/>
      <c r="F35" s="74"/>
      <c r="G35" s="74"/>
      <c r="H35" s="78"/>
      <c r="I35" s="74"/>
      <c r="J35" s="74"/>
      <c r="K35" s="74"/>
      <c r="L35" s="74"/>
      <c r="M35" s="74"/>
      <c r="N35" s="74"/>
      <c r="O35" s="74"/>
      <c r="P35" s="74"/>
    </row>
    <row r="36" spans="1:16" ht="15">
      <c r="A36" s="33"/>
      <c r="B36" s="74"/>
      <c r="C36" s="74"/>
      <c r="D36" s="74"/>
      <c r="E36" s="74"/>
      <c r="F36" s="74"/>
      <c r="G36" s="74"/>
      <c r="H36" s="78"/>
      <c r="I36" s="74"/>
      <c r="J36" s="74"/>
      <c r="K36" s="74"/>
      <c r="L36" s="74"/>
      <c r="M36" s="74"/>
      <c r="N36" s="74"/>
      <c r="O36" s="74"/>
      <c r="P36" s="74"/>
    </row>
    <row r="37" spans="1:16" ht="15">
      <c r="A37" s="33"/>
      <c r="B37" s="74"/>
      <c r="C37" s="74"/>
      <c r="D37" s="74"/>
      <c r="E37" s="74"/>
      <c r="F37" s="74"/>
      <c r="G37" s="74"/>
      <c r="H37" s="78"/>
      <c r="I37" s="74"/>
      <c r="J37" s="74"/>
      <c r="K37" s="74"/>
      <c r="L37" s="74"/>
      <c r="M37" s="74"/>
      <c r="N37" s="74"/>
      <c r="O37" s="74"/>
      <c r="P37" s="74"/>
    </row>
    <row r="38" spans="1:16" ht="15">
      <c r="A38" s="33"/>
      <c r="B38" s="74"/>
      <c r="C38" s="74"/>
      <c r="D38" s="74"/>
      <c r="E38" s="74"/>
      <c r="F38" s="74"/>
      <c r="G38" s="74"/>
      <c r="H38" s="78"/>
      <c r="I38" s="74"/>
      <c r="J38" s="74"/>
      <c r="K38" s="74"/>
      <c r="L38" s="74"/>
      <c r="M38" s="74"/>
      <c r="N38" s="74"/>
      <c r="O38" s="74"/>
      <c r="P38" s="74"/>
    </row>
    <row r="39" spans="1:16" ht="15">
      <c r="A39" s="74"/>
      <c r="B39" s="74"/>
      <c r="C39" s="74"/>
      <c r="D39" s="74"/>
      <c r="E39" s="74"/>
      <c r="F39" s="74"/>
      <c r="G39" s="74"/>
      <c r="H39" s="78"/>
      <c r="I39" s="74"/>
      <c r="J39" s="74"/>
      <c r="K39" s="74"/>
      <c r="L39" s="74"/>
      <c r="M39" s="74"/>
      <c r="N39" s="74"/>
      <c r="O39" s="74"/>
      <c r="P39" s="74"/>
    </row>
    <row r="40" spans="1:16" ht="15">
      <c r="A40" s="74"/>
      <c r="B40" s="74"/>
      <c r="C40" s="74"/>
      <c r="D40" s="74"/>
      <c r="E40" s="74"/>
      <c r="F40" s="74"/>
      <c r="G40" s="74"/>
      <c r="H40" s="78"/>
      <c r="I40" s="74"/>
      <c r="J40" s="74"/>
      <c r="K40" s="74"/>
      <c r="L40" s="74"/>
      <c r="M40" s="74"/>
      <c r="N40" s="74"/>
      <c r="O40" s="74"/>
      <c r="P40" s="74"/>
    </row>
    <row r="41" spans="1:16" ht="15">
      <c r="A41" s="74"/>
      <c r="B41" s="74"/>
      <c r="C41" s="74"/>
      <c r="D41" s="74"/>
      <c r="E41" s="74"/>
      <c r="F41" s="74"/>
      <c r="G41" s="74"/>
      <c r="H41" s="78"/>
      <c r="I41" s="74"/>
      <c r="J41" s="74"/>
      <c r="K41" s="74"/>
      <c r="L41" s="74"/>
      <c r="M41" s="74"/>
      <c r="N41" s="74"/>
      <c r="O41" s="74"/>
      <c r="P41" s="74"/>
    </row>
    <row r="42" spans="1:16" ht="15">
      <c r="A42" s="74"/>
      <c r="B42" s="74"/>
      <c r="C42" s="74"/>
      <c r="D42" s="74"/>
      <c r="E42" s="74"/>
      <c r="F42" s="74"/>
      <c r="G42" s="74"/>
      <c r="H42" s="78"/>
      <c r="I42" s="74"/>
      <c r="J42" s="74"/>
      <c r="K42" s="74"/>
      <c r="L42" s="74"/>
      <c r="M42" s="74"/>
      <c r="N42" s="74"/>
      <c r="O42" s="74"/>
      <c r="P42" s="74"/>
    </row>
    <row r="43" spans="1:16" ht="15">
      <c r="A43" s="74"/>
      <c r="B43" s="74"/>
      <c r="C43" s="74"/>
      <c r="D43" s="74"/>
      <c r="E43" s="74"/>
      <c r="F43" s="74"/>
      <c r="G43" s="74"/>
      <c r="H43" s="78"/>
      <c r="I43" s="74"/>
      <c r="J43" s="74"/>
      <c r="K43" s="74"/>
      <c r="L43" s="74"/>
      <c r="M43" s="74"/>
      <c r="N43" s="74"/>
      <c r="O43" s="74"/>
      <c r="P43" s="74"/>
    </row>
    <row r="44" spans="1:16" ht="15">
      <c r="A44" s="74"/>
      <c r="B44" s="74"/>
      <c r="C44" s="74"/>
      <c r="D44" s="74"/>
      <c r="E44" s="74"/>
      <c r="F44" s="74"/>
      <c r="G44" s="74"/>
      <c r="H44" s="78"/>
      <c r="I44" s="74"/>
      <c r="J44" s="74"/>
      <c r="K44" s="74"/>
      <c r="L44" s="74"/>
      <c r="M44" s="74"/>
      <c r="N44" s="74"/>
      <c r="O44" s="74"/>
      <c r="P44" s="74"/>
    </row>
    <row r="45" spans="1:16" ht="15">
      <c r="A45" s="74"/>
      <c r="B45" s="74"/>
      <c r="C45" s="74"/>
      <c r="D45" s="74"/>
      <c r="E45" s="74"/>
      <c r="F45" s="74"/>
      <c r="G45" s="74"/>
      <c r="H45" s="78"/>
      <c r="I45" s="74"/>
      <c r="J45" s="74"/>
      <c r="K45" s="74"/>
      <c r="L45" s="74"/>
      <c r="M45" s="74"/>
      <c r="N45" s="74"/>
      <c r="O45" s="74"/>
      <c r="P45" s="74"/>
    </row>
    <row r="46" spans="1:16" ht="15">
      <c r="A46" s="74"/>
      <c r="B46" s="74"/>
      <c r="C46" s="74"/>
      <c r="D46" s="74"/>
      <c r="E46" s="74"/>
      <c r="F46" s="74"/>
      <c r="G46" s="74"/>
      <c r="H46" s="78"/>
      <c r="I46" s="74"/>
      <c r="J46" s="74"/>
      <c r="K46" s="74"/>
      <c r="L46" s="74"/>
      <c r="M46" s="74"/>
      <c r="N46" s="74"/>
      <c r="O46" s="74"/>
      <c r="P46" s="74"/>
    </row>
    <row r="47" spans="1:16" ht="15">
      <c r="A47" s="74"/>
      <c r="B47" s="74"/>
      <c r="C47" s="74"/>
      <c r="D47" s="74"/>
      <c r="E47" s="74"/>
      <c r="F47" s="74"/>
      <c r="G47" s="74"/>
      <c r="H47" s="78"/>
      <c r="I47" s="74"/>
      <c r="J47" s="74"/>
      <c r="K47" s="74"/>
      <c r="L47" s="74"/>
      <c r="M47" s="74"/>
      <c r="N47" s="74"/>
      <c r="O47" s="74"/>
      <c r="P47" s="74"/>
    </row>
    <row r="48" spans="1:16" ht="15">
      <c r="A48" s="74"/>
      <c r="B48" s="74"/>
      <c r="C48" s="74"/>
      <c r="D48" s="74"/>
      <c r="E48" s="74"/>
      <c r="F48" s="74"/>
      <c r="G48" s="74"/>
      <c r="H48" s="78"/>
      <c r="I48" s="74"/>
      <c r="J48" s="74"/>
      <c r="K48" s="74"/>
      <c r="L48" s="74"/>
      <c r="M48" s="74"/>
      <c r="N48" s="74"/>
      <c r="O48" s="74"/>
      <c r="P48" s="74"/>
    </row>
    <row r="49" spans="1:16" ht="15">
      <c r="A49" s="74"/>
      <c r="B49" s="74"/>
      <c r="C49" s="74"/>
      <c r="D49" s="74"/>
      <c r="E49" s="74"/>
      <c r="F49" s="74"/>
      <c r="G49" s="74"/>
      <c r="H49" s="78"/>
      <c r="I49" s="74"/>
      <c r="J49" s="74"/>
      <c r="K49" s="74"/>
      <c r="L49" s="74"/>
      <c r="M49" s="74"/>
      <c r="N49" s="74"/>
      <c r="O49" s="74"/>
      <c r="P49" s="74"/>
    </row>
    <row r="50" spans="1:16" ht="15">
      <c r="A50" s="74"/>
      <c r="B50" s="74"/>
      <c r="C50" s="74"/>
      <c r="D50" s="74"/>
      <c r="E50" s="74"/>
      <c r="F50" s="74"/>
      <c r="G50" s="74"/>
      <c r="H50" s="78"/>
      <c r="I50" s="74"/>
      <c r="J50" s="74"/>
      <c r="K50" s="74"/>
      <c r="L50" s="74"/>
      <c r="M50" s="74"/>
      <c r="N50" s="74"/>
      <c r="O50" s="74"/>
      <c r="P50" s="74"/>
    </row>
    <row r="51" spans="1:16" ht="15">
      <c r="A51" s="74"/>
      <c r="B51" s="74"/>
      <c r="C51" s="74"/>
      <c r="D51" s="74"/>
      <c r="E51" s="74"/>
      <c r="F51" s="74"/>
      <c r="G51" s="74"/>
      <c r="H51" s="78"/>
      <c r="I51" s="74"/>
      <c r="J51" s="74"/>
      <c r="K51" s="74"/>
      <c r="L51" s="74"/>
      <c r="M51" s="74"/>
      <c r="N51" s="74"/>
      <c r="O51" s="74"/>
      <c r="P51" s="74"/>
    </row>
    <row r="52" spans="1:16" ht="15">
      <c r="A52" s="74"/>
      <c r="B52" s="74"/>
      <c r="C52" s="74"/>
      <c r="D52" s="74"/>
      <c r="E52" s="74"/>
      <c r="F52" s="74"/>
      <c r="G52" s="74"/>
      <c r="H52" s="78"/>
      <c r="I52" s="74"/>
      <c r="J52" s="74"/>
      <c r="K52" s="74"/>
      <c r="L52" s="74"/>
      <c r="M52" s="74"/>
      <c r="N52" s="74"/>
      <c r="O52" s="74"/>
      <c r="P52" s="74"/>
    </row>
    <row r="53" spans="1:16" ht="15">
      <c r="A53" s="74"/>
      <c r="B53" s="74"/>
      <c r="C53" s="74"/>
      <c r="D53" s="74"/>
      <c r="E53" s="74"/>
      <c r="F53" s="74"/>
      <c r="G53" s="74"/>
      <c r="H53" s="78"/>
      <c r="I53" s="74"/>
      <c r="J53" s="74"/>
      <c r="K53" s="74"/>
      <c r="L53" s="74"/>
      <c r="M53" s="74"/>
      <c r="N53" s="74"/>
      <c r="O53" s="74"/>
      <c r="P53" s="74"/>
    </row>
    <row r="54" spans="1:16" ht="15">
      <c r="A54" s="74"/>
      <c r="B54" s="74"/>
      <c r="C54" s="74"/>
      <c r="D54" s="74"/>
      <c r="E54" s="74"/>
      <c r="F54" s="74"/>
      <c r="G54" s="74"/>
      <c r="H54" s="78"/>
      <c r="I54" s="74"/>
      <c r="J54" s="74"/>
      <c r="K54" s="74"/>
      <c r="L54" s="74"/>
      <c r="M54" s="74"/>
      <c r="N54" s="74"/>
      <c r="O54" s="74"/>
      <c r="P54" s="74"/>
    </row>
    <row r="55" spans="1:16" ht="15">
      <c r="A55" s="74"/>
      <c r="B55" s="74"/>
      <c r="C55" s="74"/>
      <c r="D55" s="74"/>
      <c r="E55" s="74"/>
      <c r="F55" s="74"/>
      <c r="G55" s="74"/>
      <c r="H55" s="78"/>
      <c r="I55" s="74"/>
      <c r="J55" s="74"/>
      <c r="K55" s="74"/>
      <c r="L55" s="74"/>
      <c r="M55" s="74"/>
      <c r="N55" s="74"/>
      <c r="O55" s="74"/>
      <c r="P55" s="74"/>
    </row>
    <row r="56" spans="1:16" ht="15">
      <c r="A56" s="74"/>
      <c r="B56" s="74"/>
      <c r="C56" s="74"/>
      <c r="D56" s="74"/>
      <c r="E56" s="74"/>
      <c r="F56" s="74"/>
      <c r="G56" s="74"/>
      <c r="H56" s="78"/>
      <c r="I56" s="74"/>
      <c r="J56" s="74"/>
      <c r="K56" s="74"/>
      <c r="L56" s="74"/>
      <c r="M56" s="74"/>
      <c r="N56" s="74"/>
      <c r="O56" s="74"/>
      <c r="P56" s="74"/>
    </row>
    <row r="57" spans="1:16" ht="15">
      <c r="A57" s="74"/>
      <c r="B57" s="74"/>
      <c r="C57" s="74"/>
      <c r="D57" s="74"/>
      <c r="E57" s="74"/>
      <c r="F57" s="74"/>
      <c r="G57" s="74"/>
      <c r="H57" s="78"/>
      <c r="I57" s="74"/>
      <c r="J57" s="74"/>
      <c r="K57" s="74"/>
      <c r="L57" s="74"/>
      <c r="M57" s="74"/>
      <c r="N57" s="74"/>
      <c r="O57" s="74"/>
      <c r="P57" s="74"/>
    </row>
    <row r="58" spans="1:16" ht="15">
      <c r="A58" s="74"/>
      <c r="B58" s="74"/>
      <c r="C58" s="74"/>
      <c r="D58" s="74"/>
      <c r="E58" s="74"/>
      <c r="F58" s="74"/>
      <c r="G58" s="74"/>
      <c r="H58" s="78"/>
      <c r="I58" s="74"/>
      <c r="J58" s="74"/>
      <c r="K58" s="74"/>
      <c r="L58" s="74"/>
      <c r="M58" s="74"/>
      <c r="N58" s="74"/>
      <c r="O58" s="74"/>
      <c r="P58" s="74"/>
    </row>
    <row r="59" spans="1:16" ht="15">
      <c r="A59" s="74"/>
      <c r="B59" s="74"/>
      <c r="C59" s="74"/>
      <c r="D59" s="74"/>
      <c r="E59" s="74"/>
      <c r="F59" s="74"/>
      <c r="G59" s="74"/>
      <c r="H59" s="78"/>
      <c r="I59" s="74"/>
      <c r="J59" s="74"/>
      <c r="K59" s="74"/>
      <c r="L59" s="74"/>
      <c r="M59" s="74"/>
      <c r="N59" s="74"/>
      <c r="O59" s="74"/>
      <c r="P59" s="74"/>
    </row>
    <row r="60" spans="1:16" ht="15">
      <c r="A60" s="74"/>
      <c r="B60" s="74"/>
      <c r="C60" s="74"/>
      <c r="D60" s="74"/>
      <c r="E60" s="74"/>
      <c r="F60" s="74"/>
      <c r="G60" s="74"/>
      <c r="H60" s="78"/>
      <c r="I60" s="74"/>
      <c r="J60" s="74"/>
      <c r="K60" s="74"/>
      <c r="L60" s="74"/>
      <c r="M60" s="74"/>
      <c r="N60" s="74"/>
      <c r="O60" s="74"/>
      <c r="P60" s="74"/>
    </row>
    <row r="61" spans="1:16" ht="15">
      <c r="A61" s="74"/>
      <c r="B61" s="74"/>
      <c r="C61" s="74"/>
      <c r="D61" s="74"/>
      <c r="E61" s="74"/>
      <c r="F61" s="74"/>
      <c r="G61" s="74"/>
      <c r="H61" s="78"/>
      <c r="I61" s="74"/>
      <c r="J61" s="74"/>
      <c r="K61" s="74"/>
      <c r="L61" s="74"/>
      <c r="M61" s="74"/>
      <c r="N61" s="74"/>
      <c r="O61" s="74"/>
      <c r="P61" s="74"/>
    </row>
    <row r="62" spans="1:16" ht="15">
      <c r="A62" s="74"/>
      <c r="B62" s="74"/>
      <c r="C62" s="74"/>
      <c r="D62" s="74"/>
      <c r="E62" s="74"/>
      <c r="F62" s="74"/>
      <c r="G62" s="74"/>
      <c r="H62" s="78"/>
      <c r="I62" s="74"/>
      <c r="J62" s="74"/>
      <c r="K62" s="74"/>
      <c r="L62" s="74"/>
      <c r="M62" s="74"/>
      <c r="N62" s="74"/>
      <c r="O62" s="74"/>
      <c r="P62" s="74"/>
    </row>
    <row r="63" spans="1:16" ht="15">
      <c r="A63" s="74"/>
      <c r="B63" s="74"/>
      <c r="C63" s="74"/>
      <c r="D63" s="74"/>
      <c r="E63" s="74"/>
      <c r="F63" s="74"/>
      <c r="G63" s="74"/>
      <c r="H63" s="78"/>
      <c r="I63" s="74"/>
      <c r="J63" s="74"/>
      <c r="K63" s="74"/>
      <c r="L63" s="74"/>
      <c r="M63" s="74"/>
      <c r="N63" s="74"/>
      <c r="O63" s="74"/>
      <c r="P63" s="74"/>
    </row>
    <row r="64" spans="1:16" ht="15">
      <c r="A64" s="74"/>
      <c r="B64" s="74"/>
      <c r="C64" s="74"/>
      <c r="D64" s="74"/>
      <c r="E64" s="74"/>
      <c r="F64" s="74"/>
      <c r="G64" s="74"/>
      <c r="H64" s="78"/>
      <c r="I64" s="74"/>
      <c r="J64" s="74"/>
      <c r="K64" s="74"/>
      <c r="L64" s="74"/>
      <c r="M64" s="74"/>
      <c r="N64" s="74"/>
      <c r="O64" s="74"/>
      <c r="P64" s="74"/>
    </row>
    <row r="65" spans="1:16" ht="15">
      <c r="A65" s="74"/>
      <c r="B65" s="74"/>
      <c r="C65" s="74"/>
      <c r="D65" s="74"/>
      <c r="E65" s="74"/>
      <c r="F65" s="74"/>
      <c r="G65" s="74"/>
      <c r="H65" s="78"/>
      <c r="I65" s="74"/>
      <c r="J65" s="74"/>
      <c r="K65" s="74"/>
      <c r="L65" s="74"/>
      <c r="M65" s="74"/>
      <c r="N65" s="74"/>
      <c r="O65" s="74"/>
      <c r="P65" s="74"/>
    </row>
    <row r="66" spans="1:16" ht="15">
      <c r="A66" s="74"/>
      <c r="B66" s="74"/>
      <c r="C66" s="74"/>
      <c r="D66" s="74"/>
      <c r="E66" s="74"/>
      <c r="F66" s="74"/>
      <c r="G66" s="74"/>
      <c r="H66" s="78"/>
      <c r="I66" s="74"/>
      <c r="J66" s="74"/>
      <c r="K66" s="74"/>
      <c r="L66" s="74"/>
      <c r="M66" s="74"/>
      <c r="N66" s="74"/>
      <c r="O66" s="74"/>
      <c r="P66" s="74"/>
    </row>
    <row r="67" spans="1:16" ht="15">
      <c r="A67" s="76"/>
      <c r="B67" s="76"/>
      <c r="C67" s="76"/>
      <c r="D67" s="76"/>
      <c r="E67" s="76"/>
      <c r="F67" s="76"/>
      <c r="G67" s="76"/>
      <c r="H67" s="78"/>
      <c r="I67" s="76"/>
      <c r="J67" s="76"/>
      <c r="K67" s="76"/>
      <c r="L67" s="76"/>
      <c r="M67" s="76"/>
      <c r="N67" s="76"/>
      <c r="O67" s="76"/>
      <c r="P67" s="7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3E3115-3B3A-460C-A3B2-CF74BBF201C2}">
          <x14:formula1>
            <xm:f>'Code Data'!$A$3:$A$68</xm:f>
          </x14:formula1>
          <xm:sqref>A2:B2 B3:B51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C77A-D155-465A-BDD1-C79ED768242F}">
  <dimension ref="A3:B51"/>
  <sheetViews>
    <sheetView workbookViewId="0">
      <selection activeCell="A19" sqref="A19"/>
    </sheetView>
  </sheetViews>
  <sheetFormatPr defaultRowHeight="15"/>
  <cols>
    <col min="1" max="1" width="32.42578125" bestFit="1" customWidth="1"/>
    <col min="2" max="2" width="20.42578125" bestFit="1" customWidth="1"/>
  </cols>
  <sheetData>
    <row r="3" spans="1:2">
      <c r="A3" s="168" t="s">
        <v>16</v>
      </c>
      <c r="B3" t="s">
        <v>17</v>
      </c>
    </row>
    <row r="4" spans="1:2">
      <c r="A4" t="s">
        <v>18</v>
      </c>
      <c r="B4">
        <v>1</v>
      </c>
    </row>
    <row r="5" spans="1:2">
      <c r="A5" t="s">
        <v>19</v>
      </c>
      <c r="B5">
        <v>7</v>
      </c>
    </row>
    <row r="6" spans="1:2">
      <c r="A6" t="s">
        <v>20</v>
      </c>
      <c r="B6">
        <v>1</v>
      </c>
    </row>
    <row r="7" spans="1:2">
      <c r="A7" t="s">
        <v>21</v>
      </c>
      <c r="B7">
        <v>1</v>
      </c>
    </row>
    <row r="8" spans="1:2">
      <c r="A8" t="s">
        <v>22</v>
      </c>
      <c r="B8">
        <v>2</v>
      </c>
    </row>
    <row r="9" spans="1:2">
      <c r="A9" t="s">
        <v>23</v>
      </c>
      <c r="B9">
        <v>11</v>
      </c>
    </row>
    <row r="10" spans="1:2">
      <c r="A10" t="s">
        <v>24</v>
      </c>
      <c r="B10">
        <v>1</v>
      </c>
    </row>
    <row r="11" spans="1:2">
      <c r="A11" t="s">
        <v>25</v>
      </c>
      <c r="B11">
        <v>1</v>
      </c>
    </row>
    <row r="12" spans="1:2">
      <c r="A12" t="s">
        <v>26</v>
      </c>
      <c r="B12">
        <v>6</v>
      </c>
    </row>
    <row r="13" spans="1:2">
      <c r="A13" t="s">
        <v>27</v>
      </c>
      <c r="B13">
        <v>1</v>
      </c>
    </row>
    <row r="14" spans="1:2">
      <c r="A14" t="s">
        <v>28</v>
      </c>
      <c r="B14">
        <v>1</v>
      </c>
    </row>
    <row r="15" spans="1:2">
      <c r="A15" t="s">
        <v>29</v>
      </c>
      <c r="B15">
        <v>1</v>
      </c>
    </row>
    <row r="16" spans="1:2">
      <c r="A16" t="s">
        <v>30</v>
      </c>
      <c r="B16">
        <v>1</v>
      </c>
    </row>
    <row r="17" spans="1:2">
      <c r="A17" t="s">
        <v>31</v>
      </c>
      <c r="B17">
        <v>1</v>
      </c>
    </row>
    <row r="18" spans="1:2">
      <c r="A18" t="s">
        <v>32</v>
      </c>
      <c r="B18">
        <v>10</v>
      </c>
    </row>
    <row r="19" spans="1:2">
      <c r="A19" t="s">
        <v>33</v>
      </c>
    </row>
    <row r="20" spans="1:2">
      <c r="A20" t="s">
        <v>34</v>
      </c>
      <c r="B20">
        <v>1</v>
      </c>
    </row>
    <row r="21" spans="1:2">
      <c r="A21" t="s">
        <v>35</v>
      </c>
      <c r="B21">
        <v>2</v>
      </c>
    </row>
    <row r="22" spans="1:2">
      <c r="A22" t="s">
        <v>36</v>
      </c>
      <c r="B22">
        <v>12</v>
      </c>
    </row>
    <row r="23" spans="1:2">
      <c r="A23" t="s">
        <v>37</v>
      </c>
      <c r="B23">
        <v>6</v>
      </c>
    </row>
    <row r="24" spans="1:2">
      <c r="A24" t="s">
        <v>38</v>
      </c>
      <c r="B24">
        <v>1</v>
      </c>
    </row>
    <row r="25" spans="1:2">
      <c r="A25" t="s">
        <v>39</v>
      </c>
      <c r="B25">
        <v>9</v>
      </c>
    </row>
    <row r="26" spans="1:2">
      <c r="A26" t="s">
        <v>40</v>
      </c>
      <c r="B26">
        <v>14</v>
      </c>
    </row>
    <row r="27" spans="1:2">
      <c r="A27" t="s">
        <v>41</v>
      </c>
      <c r="B27">
        <v>1</v>
      </c>
    </row>
    <row r="28" spans="1:2">
      <c r="A28" t="s">
        <v>42</v>
      </c>
      <c r="B28">
        <v>1</v>
      </c>
    </row>
    <row r="29" spans="1:2">
      <c r="A29" t="s">
        <v>43</v>
      </c>
      <c r="B29">
        <v>2</v>
      </c>
    </row>
    <row r="30" spans="1:2">
      <c r="A30" t="s">
        <v>44</v>
      </c>
      <c r="B30">
        <v>8</v>
      </c>
    </row>
    <row r="31" spans="1:2">
      <c r="A31" t="s">
        <v>45</v>
      </c>
      <c r="B31">
        <v>1</v>
      </c>
    </row>
    <row r="32" spans="1:2">
      <c r="A32" t="s">
        <v>46</v>
      </c>
      <c r="B32">
        <v>30</v>
      </c>
    </row>
    <row r="33" spans="1:2">
      <c r="A33" t="s">
        <v>47</v>
      </c>
      <c r="B33">
        <v>11</v>
      </c>
    </row>
    <row r="34" spans="1:2">
      <c r="A34" t="s">
        <v>48</v>
      </c>
      <c r="B34">
        <v>3</v>
      </c>
    </row>
    <row r="35" spans="1:2">
      <c r="A35" t="s">
        <v>49</v>
      </c>
      <c r="B35">
        <v>8</v>
      </c>
    </row>
    <row r="36" spans="1:2">
      <c r="A36" t="s">
        <v>50</v>
      </c>
      <c r="B36">
        <v>3</v>
      </c>
    </row>
    <row r="37" spans="1:2">
      <c r="A37" t="s">
        <v>51</v>
      </c>
      <c r="B37">
        <v>1</v>
      </c>
    </row>
    <row r="38" spans="1:2">
      <c r="A38" t="s">
        <v>52</v>
      </c>
      <c r="B38">
        <v>1</v>
      </c>
    </row>
    <row r="39" spans="1:2">
      <c r="A39" t="s">
        <v>53</v>
      </c>
      <c r="B39">
        <v>1</v>
      </c>
    </row>
    <row r="40" spans="1:2">
      <c r="A40" t="s">
        <v>54</v>
      </c>
      <c r="B40">
        <v>1</v>
      </c>
    </row>
    <row r="41" spans="1:2">
      <c r="A41" t="s">
        <v>55</v>
      </c>
      <c r="B41">
        <v>3</v>
      </c>
    </row>
    <row r="42" spans="1:2">
      <c r="A42" t="s">
        <v>56</v>
      </c>
      <c r="B42">
        <v>1</v>
      </c>
    </row>
    <row r="43" spans="1:2">
      <c r="A43" t="s">
        <v>57</v>
      </c>
      <c r="B43">
        <v>1</v>
      </c>
    </row>
    <row r="44" spans="1:2">
      <c r="A44" t="s">
        <v>58</v>
      </c>
      <c r="B44">
        <v>1</v>
      </c>
    </row>
    <row r="45" spans="1:2">
      <c r="A45" t="s">
        <v>59</v>
      </c>
      <c r="B45">
        <v>5</v>
      </c>
    </row>
    <row r="46" spans="1:2">
      <c r="A46" t="s">
        <v>60</v>
      </c>
      <c r="B46">
        <v>1</v>
      </c>
    </row>
    <row r="47" spans="1:2">
      <c r="A47" t="s">
        <v>61</v>
      </c>
      <c r="B47">
        <v>2</v>
      </c>
    </row>
    <row r="48" spans="1:2">
      <c r="A48" t="s">
        <v>62</v>
      </c>
      <c r="B48">
        <v>4</v>
      </c>
    </row>
    <row r="49" spans="1:2">
      <c r="A49" t="s">
        <v>63</v>
      </c>
      <c r="B49">
        <v>1</v>
      </c>
    </row>
    <row r="50" spans="1:2">
      <c r="A50" t="s">
        <v>64</v>
      </c>
    </row>
    <row r="51" spans="1:2">
      <c r="A51" t="s">
        <v>65</v>
      </c>
      <c r="B5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6CD6-77C9-4204-8C38-CECF490F1513}">
  <dimension ref="A2:U9"/>
  <sheetViews>
    <sheetView showGridLines="0" workbookViewId="0">
      <selection activeCell="C28" sqref="C28"/>
    </sheetView>
  </sheetViews>
  <sheetFormatPr defaultRowHeight="15"/>
  <cols>
    <col min="1" max="1" width="41.140625" style="1" customWidth="1"/>
    <col min="2" max="21" width="12.42578125" style="569" customWidth="1"/>
    <col min="22" max="16384" width="9.140625" style="1"/>
  </cols>
  <sheetData>
    <row r="2" spans="1:21" ht="30.75" customHeight="1">
      <c r="A2" s="743" t="s">
        <v>66</v>
      </c>
      <c r="B2" s="745" t="s">
        <v>67</v>
      </c>
      <c r="C2" s="745"/>
      <c r="D2" s="745"/>
      <c r="E2" s="745"/>
      <c r="F2" s="746" t="s">
        <v>68</v>
      </c>
      <c r="G2" s="746"/>
      <c r="H2" s="746"/>
      <c r="I2" s="746"/>
      <c r="J2" s="745" t="s">
        <v>69</v>
      </c>
      <c r="K2" s="745"/>
      <c r="L2" s="745"/>
      <c r="M2" s="745"/>
      <c r="N2" s="746" t="s">
        <v>70</v>
      </c>
      <c r="O2" s="746"/>
      <c r="P2" s="746"/>
      <c r="Q2" s="746"/>
      <c r="R2" s="742" t="s">
        <v>71</v>
      </c>
      <c r="S2" s="742"/>
      <c r="T2" s="742"/>
      <c r="U2" s="742"/>
    </row>
    <row r="3" spans="1:21" ht="29.25">
      <c r="A3" s="744"/>
      <c r="B3" s="570" t="s">
        <v>72</v>
      </c>
      <c r="C3" s="570" t="s">
        <v>73</v>
      </c>
      <c r="D3" s="570" t="s">
        <v>74</v>
      </c>
      <c r="E3" s="570" t="s">
        <v>75</v>
      </c>
      <c r="F3" s="571" t="s">
        <v>72</v>
      </c>
      <c r="G3" s="571" t="s">
        <v>73</v>
      </c>
      <c r="H3" s="571" t="s">
        <v>74</v>
      </c>
      <c r="I3" s="571" t="s">
        <v>75</v>
      </c>
      <c r="J3" s="570" t="s">
        <v>72</v>
      </c>
      <c r="K3" s="570" t="s">
        <v>73</v>
      </c>
      <c r="L3" s="570" t="s">
        <v>74</v>
      </c>
      <c r="M3" s="570" t="s">
        <v>75</v>
      </c>
      <c r="N3" s="571" t="s">
        <v>72</v>
      </c>
      <c r="O3" s="571" t="s">
        <v>73</v>
      </c>
      <c r="P3" s="571" t="s">
        <v>74</v>
      </c>
      <c r="Q3" s="571" t="s">
        <v>75</v>
      </c>
      <c r="R3" s="570" t="s">
        <v>72</v>
      </c>
      <c r="S3" s="570" t="s">
        <v>73</v>
      </c>
      <c r="T3" s="570" t="s">
        <v>74</v>
      </c>
      <c r="U3" s="570" t="s">
        <v>75</v>
      </c>
    </row>
    <row r="4" spans="1:21" ht="36" customHeight="1">
      <c r="A4" s="568" t="s">
        <v>76</v>
      </c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</row>
    <row r="5" spans="1:21" ht="36" customHeight="1">
      <c r="A5" s="568" t="s">
        <v>77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</row>
    <row r="6" spans="1:21" ht="36" customHeight="1">
      <c r="A6" s="568" t="s">
        <v>78</v>
      </c>
      <c r="B6" s="573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</row>
    <row r="7" spans="1:21" ht="36" customHeight="1">
      <c r="A7" s="568" t="s">
        <v>79</v>
      </c>
      <c r="B7" s="573"/>
      <c r="C7" s="573"/>
      <c r="D7" s="573"/>
      <c r="E7" s="573"/>
      <c r="F7" s="573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</row>
    <row r="8" spans="1:21" ht="36" customHeight="1">
      <c r="A8" s="568" t="s">
        <v>80</v>
      </c>
      <c r="B8" s="573"/>
      <c r="C8" s="573"/>
      <c r="D8" s="573"/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  <c r="P8" s="573"/>
      <c r="Q8" s="573"/>
      <c r="R8" s="573"/>
      <c r="S8" s="573"/>
      <c r="T8" s="573"/>
      <c r="U8" s="573"/>
    </row>
    <row r="9" spans="1:21" ht="36" customHeight="1">
      <c r="A9" s="568" t="s">
        <v>81</v>
      </c>
      <c r="B9" s="573"/>
      <c r="C9" s="573"/>
      <c r="D9" s="573"/>
      <c r="E9" s="573"/>
      <c r="F9" s="573"/>
      <c r="G9" s="573"/>
      <c r="H9" s="573"/>
      <c r="I9" s="573"/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</row>
  </sheetData>
  <mergeCells count="6">
    <mergeCell ref="R2:U2"/>
    <mergeCell ref="A2:A3"/>
    <mergeCell ref="B2:E2"/>
    <mergeCell ref="F2:I2"/>
    <mergeCell ref="J2:M2"/>
    <mergeCell ref="N2:Q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BF7A8-71BB-4CF4-B6E1-EAF079F2F040}">
          <x14:formula1>
            <xm:f>'Code Data'!$F$3:$F$19</xm:f>
          </x14:formula1>
          <xm:sqref>A4:A9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5722-9242-4DBA-AB98-90BB5E53316B}">
  <dimension ref="A1:V70"/>
  <sheetViews>
    <sheetView showGridLines="0" topLeftCell="A2" workbookViewId="0">
      <pane xSplit="8" ySplit="3" topLeftCell="L63" activePane="bottomRight" state="frozen"/>
      <selection pane="bottomRight" activeCell="C68" sqref="C68"/>
      <selection pane="bottomLeft"/>
      <selection pane="topRight"/>
    </sheetView>
  </sheetViews>
  <sheetFormatPr defaultColWidth="9.28515625" defaultRowHeight="14.25" customHeight="1"/>
  <cols>
    <col min="1" max="1" width="9.28515625" style="1"/>
    <col min="2" max="2" width="26.5703125" style="1" customWidth="1"/>
    <col min="3" max="3" width="21.140625" style="1" customWidth="1"/>
    <col min="4" max="4" width="30.85546875" style="1" customWidth="1"/>
    <col min="5" max="5" width="22.5703125" style="1" customWidth="1"/>
    <col min="6" max="7" width="10.5703125" style="1" customWidth="1"/>
    <col min="8" max="9" width="14.5703125" style="1" customWidth="1"/>
    <col min="10" max="10" width="13.28515625" style="1" customWidth="1"/>
    <col min="11" max="11" width="24.85546875" style="1" customWidth="1"/>
    <col min="12" max="12" width="43.7109375" style="1" customWidth="1"/>
    <col min="13" max="13" width="17.7109375" style="1" customWidth="1"/>
    <col min="14" max="14" width="29.42578125" style="1" customWidth="1"/>
    <col min="15" max="15" width="24.42578125" style="1" customWidth="1"/>
    <col min="16" max="16" width="57.85546875" style="1" customWidth="1"/>
    <col min="17" max="17" width="24.7109375" style="1" customWidth="1"/>
    <col min="18" max="18" width="20.140625" style="1" customWidth="1"/>
    <col min="19" max="19" width="52.140625" style="1" customWidth="1"/>
    <col min="20" max="20" width="21.85546875" style="1" customWidth="1"/>
    <col min="21" max="21" width="25.28515625" style="1" customWidth="1"/>
    <col min="22" max="22" width="59.42578125" style="1" customWidth="1"/>
    <col min="23" max="16384" width="9.28515625" style="1"/>
  </cols>
  <sheetData>
    <row r="1" spans="1:22" ht="72" customHeight="1">
      <c r="A1" s="122"/>
      <c r="B1" s="123"/>
      <c r="C1" s="728" t="s">
        <v>82</v>
      </c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</row>
    <row r="2" spans="1:22" ht="53.25" customHeight="1">
      <c r="A2" s="193" t="s">
        <v>83</v>
      </c>
      <c r="B2" s="193"/>
      <c r="C2" s="193"/>
      <c r="D2" s="784" t="s">
        <v>84</v>
      </c>
      <c r="E2" s="785"/>
      <c r="F2" s="785"/>
      <c r="G2" s="785"/>
      <c r="H2" s="785"/>
    </row>
    <row r="3" spans="1:22" s="136" customFormat="1" ht="58.5" customHeight="1">
      <c r="A3" s="145" t="s">
        <v>85</v>
      </c>
      <c r="B3" s="145" t="s">
        <v>66</v>
      </c>
      <c r="C3" s="145" t="s">
        <v>86</v>
      </c>
      <c r="D3" s="145" t="s">
        <v>16</v>
      </c>
      <c r="E3" s="145" t="s">
        <v>87</v>
      </c>
      <c r="F3" s="145" t="s">
        <v>88</v>
      </c>
      <c r="G3" s="145" t="s">
        <v>89</v>
      </c>
      <c r="H3" s="145" t="s">
        <v>90</v>
      </c>
      <c r="I3" s="145" t="s">
        <v>91</v>
      </c>
      <c r="J3" s="135" t="s">
        <v>92</v>
      </c>
      <c r="K3" s="135" t="s">
        <v>93</v>
      </c>
      <c r="L3" s="135" t="s">
        <v>94</v>
      </c>
      <c r="M3" s="135" t="s">
        <v>95</v>
      </c>
      <c r="N3" s="135" t="s">
        <v>96</v>
      </c>
      <c r="O3" s="135" t="s">
        <v>97</v>
      </c>
      <c r="P3" s="135" t="s">
        <v>98</v>
      </c>
      <c r="Q3" s="135" t="s">
        <v>99</v>
      </c>
      <c r="R3" s="135" t="s">
        <v>100</v>
      </c>
      <c r="S3" s="135" t="s">
        <v>101</v>
      </c>
      <c r="T3" s="135" t="s">
        <v>102</v>
      </c>
      <c r="U3" s="135" t="s">
        <v>103</v>
      </c>
      <c r="V3" s="135" t="s">
        <v>104</v>
      </c>
    </row>
    <row r="4" spans="1:22" s="136" customFormat="1" ht="24.75" customHeight="1">
      <c r="A4" s="781" t="s">
        <v>105</v>
      </c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782"/>
      <c r="O4" s="782"/>
      <c r="P4" s="782"/>
      <c r="Q4" s="782"/>
      <c r="R4" s="782"/>
      <c r="S4" s="782"/>
      <c r="T4" s="782"/>
      <c r="U4" s="782"/>
      <c r="V4" s="783"/>
    </row>
    <row r="5" spans="1:22" s="127" customFormat="1" ht="27" customHeight="1">
      <c r="A5" s="150">
        <v>1</v>
      </c>
      <c r="B5" s="173" t="s">
        <v>106</v>
      </c>
      <c r="C5" s="174"/>
      <c r="D5" s="174" t="s">
        <v>107</v>
      </c>
      <c r="E5" s="174"/>
      <c r="F5" s="149" t="s">
        <v>108</v>
      </c>
      <c r="G5" s="149">
        <v>1</v>
      </c>
      <c r="H5" s="154">
        <v>45876</v>
      </c>
      <c r="I5" s="171">
        <v>13930000</v>
      </c>
      <c r="J5" s="172"/>
      <c r="K5" s="151" t="s">
        <v>109</v>
      </c>
      <c r="L5" s="151" t="s">
        <v>110</v>
      </c>
      <c r="M5" s="151">
        <v>25022</v>
      </c>
      <c r="N5" s="151" t="s">
        <v>109</v>
      </c>
      <c r="O5" s="149" t="s">
        <v>111</v>
      </c>
      <c r="P5" s="149" t="s">
        <v>112</v>
      </c>
      <c r="Q5" s="153" t="s">
        <v>113</v>
      </c>
      <c r="R5" s="153"/>
      <c r="S5" s="150"/>
      <c r="T5" s="149" t="s">
        <v>114</v>
      </c>
      <c r="U5" s="167" t="s">
        <v>115</v>
      </c>
      <c r="V5" s="149"/>
    </row>
    <row r="6" spans="1:22" s="127" customFormat="1" ht="27" customHeight="1">
      <c r="A6" s="150">
        <v>2</v>
      </c>
      <c r="B6" s="176" t="s">
        <v>106</v>
      </c>
      <c r="C6" s="170" t="s">
        <v>116</v>
      </c>
      <c r="D6" s="170" t="s">
        <v>77</v>
      </c>
      <c r="E6" s="170"/>
      <c r="F6" s="175" t="s">
        <v>108</v>
      </c>
      <c r="G6" s="149">
        <v>1</v>
      </c>
      <c r="H6" s="154">
        <v>45888</v>
      </c>
      <c r="I6" s="774">
        <v>30500000</v>
      </c>
      <c r="J6" s="151">
        <v>20001</v>
      </c>
      <c r="K6" s="151" t="s">
        <v>117</v>
      </c>
      <c r="L6" s="151" t="s">
        <v>118</v>
      </c>
      <c r="M6" s="151">
        <v>25029</v>
      </c>
      <c r="N6" s="151" t="s">
        <v>119</v>
      </c>
      <c r="O6" s="149" t="s">
        <v>111</v>
      </c>
      <c r="P6" s="149" t="s">
        <v>120</v>
      </c>
      <c r="Q6" s="153" t="s">
        <v>113</v>
      </c>
      <c r="R6" s="182"/>
      <c r="S6" s="737" t="s">
        <v>121</v>
      </c>
      <c r="T6" s="765">
        <v>996202</v>
      </c>
      <c r="U6" s="167" t="s">
        <v>115</v>
      </c>
      <c r="V6" s="149"/>
    </row>
    <row r="7" spans="1:22" s="127" customFormat="1" ht="27" customHeight="1">
      <c r="A7" s="150">
        <v>3</v>
      </c>
      <c r="B7" s="176" t="s">
        <v>106</v>
      </c>
      <c r="C7" s="170" t="s">
        <v>122</v>
      </c>
      <c r="D7" s="170" t="s">
        <v>78</v>
      </c>
      <c r="E7" s="170"/>
      <c r="F7" s="175" t="s">
        <v>108</v>
      </c>
      <c r="G7" s="149">
        <v>1</v>
      </c>
      <c r="H7" s="154">
        <v>45888</v>
      </c>
      <c r="I7" s="779"/>
      <c r="J7" s="151">
        <v>20001</v>
      </c>
      <c r="K7" s="151" t="s">
        <v>117</v>
      </c>
      <c r="L7" s="151" t="s">
        <v>118</v>
      </c>
      <c r="M7" s="151">
        <v>25029</v>
      </c>
      <c r="N7" s="151" t="s">
        <v>119</v>
      </c>
      <c r="O7" s="149" t="s">
        <v>111</v>
      </c>
      <c r="P7" s="149" t="s">
        <v>120</v>
      </c>
      <c r="Q7" s="153" t="s">
        <v>113</v>
      </c>
      <c r="R7" s="183"/>
      <c r="S7" s="738"/>
      <c r="T7" s="766"/>
      <c r="U7" s="167" t="s">
        <v>115</v>
      </c>
      <c r="V7" s="149"/>
    </row>
    <row r="8" spans="1:22" s="127" customFormat="1" ht="27" customHeight="1">
      <c r="A8" s="150">
        <v>4</v>
      </c>
      <c r="B8" s="176" t="s">
        <v>106</v>
      </c>
      <c r="C8" s="170" t="s">
        <v>123</v>
      </c>
      <c r="D8" s="170" t="s">
        <v>79</v>
      </c>
      <c r="E8" s="170"/>
      <c r="F8" s="175" t="s">
        <v>108</v>
      </c>
      <c r="G8" s="149">
        <v>1</v>
      </c>
      <c r="H8" s="154">
        <v>45888</v>
      </c>
      <c r="I8" s="780"/>
      <c r="J8" s="151">
        <v>20001</v>
      </c>
      <c r="K8" s="151" t="s">
        <v>117</v>
      </c>
      <c r="L8" s="151" t="s">
        <v>118</v>
      </c>
      <c r="M8" s="151">
        <v>25029</v>
      </c>
      <c r="N8" s="151" t="s">
        <v>119</v>
      </c>
      <c r="O8" s="149" t="s">
        <v>111</v>
      </c>
      <c r="P8" s="149" t="s">
        <v>120</v>
      </c>
      <c r="Q8" s="153" t="s">
        <v>113</v>
      </c>
      <c r="R8" s="183"/>
      <c r="S8" s="738"/>
      <c r="T8" s="767"/>
      <c r="U8" s="167" t="s">
        <v>115</v>
      </c>
      <c r="V8" s="149"/>
    </row>
    <row r="9" spans="1:22" s="127" customFormat="1" ht="27" customHeight="1">
      <c r="A9" s="150">
        <v>5</v>
      </c>
      <c r="B9" s="176" t="s">
        <v>106</v>
      </c>
      <c r="C9" s="170" t="s">
        <v>124</v>
      </c>
      <c r="D9" s="169" t="s">
        <v>78</v>
      </c>
      <c r="E9" s="169"/>
      <c r="F9" s="175" t="s">
        <v>108</v>
      </c>
      <c r="G9" s="149">
        <v>1</v>
      </c>
      <c r="H9" s="154">
        <v>45917</v>
      </c>
      <c r="I9" s="774">
        <v>91568000</v>
      </c>
      <c r="J9" s="151">
        <v>22003</v>
      </c>
      <c r="K9" s="151" t="s">
        <v>125</v>
      </c>
      <c r="L9" s="151" t="s">
        <v>126</v>
      </c>
      <c r="M9" s="151">
        <v>25011</v>
      </c>
      <c r="N9" s="151" t="s">
        <v>127</v>
      </c>
      <c r="O9" s="149" t="s">
        <v>111</v>
      </c>
      <c r="P9" s="149" t="s">
        <v>128</v>
      </c>
      <c r="Q9" s="153" t="s">
        <v>113</v>
      </c>
      <c r="R9" s="183"/>
      <c r="S9" s="738" t="s">
        <v>121</v>
      </c>
      <c r="T9" s="765">
        <v>1046211</v>
      </c>
      <c r="U9" s="167" t="s">
        <v>115</v>
      </c>
      <c r="V9" s="149"/>
    </row>
    <row r="10" spans="1:22" s="127" customFormat="1" ht="27" customHeight="1">
      <c r="A10" s="150">
        <v>6</v>
      </c>
      <c r="B10" s="176" t="s">
        <v>106</v>
      </c>
      <c r="C10" s="170" t="s">
        <v>129</v>
      </c>
      <c r="D10" s="169" t="s">
        <v>130</v>
      </c>
      <c r="E10" s="169"/>
      <c r="F10" s="175" t="s">
        <v>108</v>
      </c>
      <c r="G10" s="149">
        <v>1</v>
      </c>
      <c r="H10" s="154">
        <v>45917</v>
      </c>
      <c r="I10" s="775"/>
      <c r="J10" s="151">
        <v>22003</v>
      </c>
      <c r="K10" s="151" t="s">
        <v>125</v>
      </c>
      <c r="L10" s="151" t="s">
        <v>126</v>
      </c>
      <c r="M10" s="151">
        <v>25011</v>
      </c>
      <c r="N10" s="151" t="s">
        <v>127</v>
      </c>
      <c r="O10" s="149" t="s">
        <v>111</v>
      </c>
      <c r="P10" s="149" t="s">
        <v>128</v>
      </c>
      <c r="Q10" s="153" t="s">
        <v>113</v>
      </c>
      <c r="R10" s="183"/>
      <c r="S10" s="738"/>
      <c r="T10" s="766"/>
      <c r="U10" s="167" t="s">
        <v>115</v>
      </c>
      <c r="V10" s="149"/>
    </row>
    <row r="11" spans="1:22" s="127" customFormat="1" ht="27" customHeight="1">
      <c r="A11" s="150">
        <v>7</v>
      </c>
      <c r="B11" s="176" t="s">
        <v>106</v>
      </c>
      <c r="C11" s="170" t="s">
        <v>131</v>
      </c>
      <c r="D11" s="169" t="s">
        <v>78</v>
      </c>
      <c r="E11" s="169"/>
      <c r="F11" s="175" t="s">
        <v>108</v>
      </c>
      <c r="G11" s="149">
        <v>1</v>
      </c>
      <c r="H11" s="154">
        <v>45917</v>
      </c>
      <c r="I11" s="775"/>
      <c r="J11" s="151">
        <v>22003</v>
      </c>
      <c r="K11" s="151" t="s">
        <v>125</v>
      </c>
      <c r="L11" s="151" t="s">
        <v>126</v>
      </c>
      <c r="M11" s="151">
        <v>25011</v>
      </c>
      <c r="N11" s="151" t="s">
        <v>127</v>
      </c>
      <c r="O11" s="149" t="s">
        <v>111</v>
      </c>
      <c r="P11" s="149" t="s">
        <v>128</v>
      </c>
      <c r="Q11" s="153" t="s">
        <v>113</v>
      </c>
      <c r="R11" s="183"/>
      <c r="S11" s="738"/>
      <c r="T11" s="766"/>
      <c r="U11" s="167" t="s">
        <v>115</v>
      </c>
      <c r="V11" s="149"/>
    </row>
    <row r="12" spans="1:22" s="127" customFormat="1" ht="27" customHeight="1">
      <c r="A12" s="150">
        <v>8</v>
      </c>
      <c r="B12" s="176" t="s">
        <v>106</v>
      </c>
      <c r="C12" s="170" t="s">
        <v>132</v>
      </c>
      <c r="D12" s="169" t="s">
        <v>78</v>
      </c>
      <c r="E12" s="169"/>
      <c r="F12" s="175" t="s">
        <v>108</v>
      </c>
      <c r="G12" s="149">
        <v>1</v>
      </c>
      <c r="H12" s="154">
        <v>45917</v>
      </c>
      <c r="I12" s="776"/>
      <c r="J12" s="151">
        <v>22003</v>
      </c>
      <c r="K12" s="151" t="s">
        <v>125</v>
      </c>
      <c r="L12" s="151" t="s">
        <v>126</v>
      </c>
      <c r="M12" s="151">
        <v>25032</v>
      </c>
      <c r="N12" s="151" t="s">
        <v>133</v>
      </c>
      <c r="O12" s="149" t="s">
        <v>111</v>
      </c>
      <c r="P12" s="149" t="s">
        <v>128</v>
      </c>
      <c r="Q12" s="153" t="s">
        <v>113</v>
      </c>
      <c r="R12" s="184"/>
      <c r="S12" s="739"/>
      <c r="T12" s="767"/>
      <c r="U12" s="167" t="s">
        <v>115</v>
      </c>
      <c r="V12" s="149"/>
    </row>
    <row r="13" spans="1:22" s="127" customFormat="1" ht="27" customHeight="1">
      <c r="A13" s="150">
        <v>9</v>
      </c>
      <c r="B13" s="176" t="s">
        <v>106</v>
      </c>
      <c r="C13" s="170" t="s">
        <v>134</v>
      </c>
      <c r="D13" s="170" t="s">
        <v>77</v>
      </c>
      <c r="E13" s="170"/>
      <c r="F13" s="175" t="s">
        <v>108</v>
      </c>
      <c r="G13" s="149">
        <v>1</v>
      </c>
      <c r="H13" s="154">
        <v>45931</v>
      </c>
      <c r="I13" s="777">
        <v>25060000</v>
      </c>
      <c r="J13" s="151">
        <v>22001</v>
      </c>
      <c r="K13" s="151" t="s">
        <v>135</v>
      </c>
      <c r="L13" s="151" t="s">
        <v>136</v>
      </c>
      <c r="M13" s="151">
        <v>22001</v>
      </c>
      <c r="N13" s="151" t="s">
        <v>135</v>
      </c>
      <c r="O13" s="149" t="s">
        <v>111</v>
      </c>
      <c r="P13" s="149" t="s">
        <v>137</v>
      </c>
      <c r="Q13" s="153" t="s">
        <v>113</v>
      </c>
      <c r="R13" s="182"/>
      <c r="S13" s="737" t="s">
        <v>121</v>
      </c>
      <c r="T13" s="765">
        <v>1066566</v>
      </c>
      <c r="U13" s="167" t="s">
        <v>115</v>
      </c>
      <c r="V13" s="149"/>
    </row>
    <row r="14" spans="1:22" s="127" customFormat="1" ht="27" customHeight="1">
      <c r="A14" s="150">
        <v>10</v>
      </c>
      <c r="B14" s="176" t="s">
        <v>106</v>
      </c>
      <c r="C14" s="170" t="s">
        <v>138</v>
      </c>
      <c r="D14" s="170" t="s">
        <v>78</v>
      </c>
      <c r="E14" s="170"/>
      <c r="F14" s="175" t="s">
        <v>108</v>
      </c>
      <c r="G14" s="149">
        <v>1</v>
      </c>
      <c r="H14" s="154">
        <v>45931</v>
      </c>
      <c r="I14" s="778"/>
      <c r="J14" s="151">
        <v>22002</v>
      </c>
      <c r="K14" s="151" t="s">
        <v>135</v>
      </c>
      <c r="L14" s="151" t="s">
        <v>136</v>
      </c>
      <c r="M14" s="151">
        <v>22001</v>
      </c>
      <c r="N14" s="151" t="s">
        <v>135</v>
      </c>
      <c r="O14" s="149" t="s">
        <v>111</v>
      </c>
      <c r="P14" s="149" t="s">
        <v>137</v>
      </c>
      <c r="Q14" s="153" t="s">
        <v>113</v>
      </c>
      <c r="R14" s="184"/>
      <c r="S14" s="739"/>
      <c r="T14" s="767"/>
      <c r="U14" s="167" t="s">
        <v>115</v>
      </c>
      <c r="V14" s="149"/>
    </row>
    <row r="15" spans="1:22" s="127" customFormat="1" ht="27" customHeight="1">
      <c r="A15" s="150">
        <v>11</v>
      </c>
      <c r="B15" s="176" t="s">
        <v>106</v>
      </c>
      <c r="C15" s="170" t="s">
        <v>139</v>
      </c>
      <c r="D15" s="170" t="s">
        <v>140</v>
      </c>
      <c r="E15" s="170"/>
      <c r="F15" s="175" t="s">
        <v>141</v>
      </c>
      <c r="G15" s="149">
        <v>1</v>
      </c>
      <c r="H15" s="154">
        <v>45962</v>
      </c>
      <c r="I15" s="171">
        <v>18700000</v>
      </c>
      <c r="J15" s="151">
        <v>22003</v>
      </c>
      <c r="K15" s="151" t="s">
        <v>125</v>
      </c>
      <c r="L15" s="151" t="s">
        <v>126</v>
      </c>
      <c r="M15" s="151">
        <v>22003</v>
      </c>
      <c r="N15" s="151" t="s">
        <v>125</v>
      </c>
      <c r="O15" s="149" t="s">
        <v>111</v>
      </c>
      <c r="P15" s="149" t="s">
        <v>142</v>
      </c>
      <c r="Q15" s="153" t="s">
        <v>113</v>
      </c>
      <c r="R15" s="798"/>
      <c r="S15" s="181" t="s">
        <v>121</v>
      </c>
      <c r="T15" s="177">
        <v>1129720</v>
      </c>
      <c r="U15" s="167" t="s">
        <v>115</v>
      </c>
      <c r="V15" s="180" t="s">
        <v>143</v>
      </c>
    </row>
    <row r="16" spans="1:22" s="127" customFormat="1" ht="27" customHeight="1">
      <c r="A16" s="150">
        <v>12</v>
      </c>
      <c r="B16" s="176" t="s">
        <v>106</v>
      </c>
      <c r="C16" s="170" t="s">
        <v>144</v>
      </c>
      <c r="D16" s="170" t="s">
        <v>78</v>
      </c>
      <c r="E16" s="170"/>
      <c r="F16" s="175" t="s">
        <v>108</v>
      </c>
      <c r="G16" s="149">
        <v>1</v>
      </c>
      <c r="H16" s="154">
        <v>46006</v>
      </c>
      <c r="I16" s="774">
        <v>88750000</v>
      </c>
      <c r="J16" s="151">
        <v>22003</v>
      </c>
      <c r="K16" s="151" t="s">
        <v>125</v>
      </c>
      <c r="L16" s="151" t="s">
        <v>126</v>
      </c>
      <c r="M16" s="151">
        <v>25045</v>
      </c>
      <c r="N16" s="151" t="s">
        <v>145</v>
      </c>
      <c r="O16" s="149" t="s">
        <v>111</v>
      </c>
      <c r="P16" s="149" t="s">
        <v>137</v>
      </c>
      <c r="Q16" s="153" t="s">
        <v>113</v>
      </c>
      <c r="R16" s="799"/>
      <c r="S16" s="737" t="s">
        <v>121</v>
      </c>
      <c r="T16" s="811">
        <v>1226115</v>
      </c>
      <c r="U16" s="167" t="s">
        <v>115</v>
      </c>
      <c r="V16" s="149"/>
    </row>
    <row r="17" spans="1:22" s="127" customFormat="1" ht="27" customHeight="1">
      <c r="A17" s="150">
        <v>13</v>
      </c>
      <c r="B17" s="176" t="s">
        <v>106</v>
      </c>
      <c r="C17" s="170" t="s">
        <v>146</v>
      </c>
      <c r="D17" s="170" t="s">
        <v>78</v>
      </c>
      <c r="E17" s="170"/>
      <c r="F17" s="175" t="s">
        <v>108</v>
      </c>
      <c r="G17" s="149">
        <v>1</v>
      </c>
      <c r="H17" s="154">
        <v>46006</v>
      </c>
      <c r="I17" s="775"/>
      <c r="J17" s="151">
        <v>22003</v>
      </c>
      <c r="K17" s="151" t="s">
        <v>125</v>
      </c>
      <c r="L17" s="151" t="s">
        <v>126</v>
      </c>
      <c r="M17" s="151">
        <v>25045</v>
      </c>
      <c r="N17" s="151" t="s">
        <v>145</v>
      </c>
      <c r="O17" s="149" t="s">
        <v>111</v>
      </c>
      <c r="P17" s="149" t="s">
        <v>137</v>
      </c>
      <c r="Q17" s="153" t="s">
        <v>113</v>
      </c>
      <c r="R17" s="800"/>
      <c r="S17" s="738"/>
      <c r="T17" s="766"/>
      <c r="U17" s="167" t="s">
        <v>115</v>
      </c>
      <c r="V17" s="149"/>
    </row>
    <row r="18" spans="1:22" s="127" customFormat="1" ht="27" customHeight="1">
      <c r="A18" s="150">
        <v>14</v>
      </c>
      <c r="B18" s="176" t="s">
        <v>106</v>
      </c>
      <c r="C18" s="170" t="s">
        <v>147</v>
      </c>
      <c r="D18" s="170" t="s">
        <v>77</v>
      </c>
      <c r="E18" s="170"/>
      <c r="F18" s="175" t="s">
        <v>108</v>
      </c>
      <c r="G18" s="149">
        <v>1</v>
      </c>
      <c r="H18" s="154">
        <v>46006</v>
      </c>
      <c r="I18" s="775"/>
      <c r="J18" s="151">
        <v>22003</v>
      </c>
      <c r="K18" s="151" t="s">
        <v>125</v>
      </c>
      <c r="L18" s="151" t="s">
        <v>126</v>
      </c>
      <c r="M18" s="151">
        <v>25045</v>
      </c>
      <c r="N18" s="151" t="s">
        <v>145</v>
      </c>
      <c r="O18" s="149" t="s">
        <v>111</v>
      </c>
      <c r="P18" s="149" t="s">
        <v>137</v>
      </c>
      <c r="Q18" s="153" t="s">
        <v>113</v>
      </c>
      <c r="R18" s="183"/>
      <c r="S18" s="738"/>
      <c r="T18" s="766"/>
      <c r="U18" s="167" t="s">
        <v>115</v>
      </c>
      <c r="V18" s="149"/>
    </row>
    <row r="19" spans="1:22" s="127" customFormat="1" ht="27" customHeight="1">
      <c r="A19" s="150">
        <v>15</v>
      </c>
      <c r="B19" s="176" t="s">
        <v>106</v>
      </c>
      <c r="C19" s="170" t="s">
        <v>148</v>
      </c>
      <c r="D19" s="170" t="s">
        <v>80</v>
      </c>
      <c r="E19" s="170"/>
      <c r="F19" s="175" t="s">
        <v>108</v>
      </c>
      <c r="G19" s="149">
        <v>1</v>
      </c>
      <c r="H19" s="154">
        <v>46006</v>
      </c>
      <c r="I19" s="775"/>
      <c r="J19" s="151">
        <v>22003</v>
      </c>
      <c r="K19" s="151" t="s">
        <v>125</v>
      </c>
      <c r="L19" s="151" t="s">
        <v>126</v>
      </c>
      <c r="M19" s="151">
        <v>25045</v>
      </c>
      <c r="N19" s="151" t="s">
        <v>145</v>
      </c>
      <c r="O19" s="149" t="s">
        <v>111</v>
      </c>
      <c r="P19" s="149" t="s">
        <v>137</v>
      </c>
      <c r="Q19" s="153" t="s">
        <v>113</v>
      </c>
      <c r="R19" s="183"/>
      <c r="S19" s="738"/>
      <c r="T19" s="766"/>
      <c r="U19" s="167" t="s">
        <v>115</v>
      </c>
      <c r="V19" s="149"/>
    </row>
    <row r="20" spans="1:22" s="127" customFormat="1" ht="27" customHeight="1">
      <c r="A20" s="150">
        <v>16</v>
      </c>
      <c r="B20" s="176" t="s">
        <v>106</v>
      </c>
      <c r="C20" s="170" t="s">
        <v>149</v>
      </c>
      <c r="D20" s="170" t="s">
        <v>79</v>
      </c>
      <c r="E20" s="178"/>
      <c r="F20" s="175" t="s">
        <v>108</v>
      </c>
      <c r="G20" s="149">
        <v>1</v>
      </c>
      <c r="H20" s="154">
        <v>46006</v>
      </c>
      <c r="I20" s="776"/>
      <c r="J20" s="151">
        <v>22003</v>
      </c>
      <c r="K20" s="151" t="s">
        <v>125</v>
      </c>
      <c r="L20" s="151" t="s">
        <v>126</v>
      </c>
      <c r="M20" s="151">
        <v>25045</v>
      </c>
      <c r="N20" s="151" t="s">
        <v>145</v>
      </c>
      <c r="O20" s="149" t="s">
        <v>111</v>
      </c>
      <c r="P20" s="149" t="s">
        <v>137</v>
      </c>
      <c r="Q20" s="153" t="s">
        <v>113</v>
      </c>
      <c r="R20" s="183"/>
      <c r="S20" s="738"/>
      <c r="T20" s="766"/>
      <c r="U20" s="167" t="s">
        <v>115</v>
      </c>
      <c r="V20" s="149"/>
    </row>
    <row r="21" spans="1:22" s="127" customFormat="1" ht="27" customHeight="1">
      <c r="A21" s="150">
        <v>17</v>
      </c>
      <c r="B21" s="176" t="s">
        <v>106</v>
      </c>
      <c r="C21" s="170" t="s">
        <v>150</v>
      </c>
      <c r="D21" s="170" t="s">
        <v>78</v>
      </c>
      <c r="E21" s="170"/>
      <c r="F21" s="175" t="s">
        <v>108</v>
      </c>
      <c r="G21" s="149">
        <v>1</v>
      </c>
      <c r="H21" s="154">
        <v>46006</v>
      </c>
      <c r="I21" s="774">
        <v>88750000</v>
      </c>
      <c r="J21" s="151">
        <v>22003</v>
      </c>
      <c r="K21" s="151" t="s">
        <v>125</v>
      </c>
      <c r="L21" s="151" t="s">
        <v>126</v>
      </c>
      <c r="M21" s="151">
        <v>25046</v>
      </c>
      <c r="N21" s="151" t="s">
        <v>151</v>
      </c>
      <c r="O21" s="149" t="s">
        <v>111</v>
      </c>
      <c r="P21" s="149" t="s">
        <v>137</v>
      </c>
      <c r="Q21" s="153" t="s">
        <v>113</v>
      </c>
      <c r="R21" s="183"/>
      <c r="S21" s="738"/>
      <c r="T21" s="766"/>
      <c r="U21" s="167" t="s">
        <v>115</v>
      </c>
      <c r="V21" s="149"/>
    </row>
    <row r="22" spans="1:22" s="127" customFormat="1" ht="27" customHeight="1">
      <c r="A22" s="150">
        <v>18</v>
      </c>
      <c r="B22" s="176" t="s">
        <v>106</v>
      </c>
      <c r="C22" s="170" t="s">
        <v>152</v>
      </c>
      <c r="D22" s="170" t="s">
        <v>78</v>
      </c>
      <c r="E22" s="170"/>
      <c r="F22" s="175" t="s">
        <v>108</v>
      </c>
      <c r="G22" s="149">
        <v>1</v>
      </c>
      <c r="H22" s="154">
        <v>46006</v>
      </c>
      <c r="I22" s="775"/>
      <c r="J22" s="151">
        <v>22003</v>
      </c>
      <c r="K22" s="151" t="s">
        <v>125</v>
      </c>
      <c r="L22" s="151" t="s">
        <v>126</v>
      </c>
      <c r="M22" s="151">
        <v>25046</v>
      </c>
      <c r="N22" s="151" t="s">
        <v>151</v>
      </c>
      <c r="O22" s="149" t="s">
        <v>111</v>
      </c>
      <c r="P22" s="149" t="s">
        <v>137</v>
      </c>
      <c r="Q22" s="153" t="s">
        <v>113</v>
      </c>
      <c r="R22" s="183"/>
      <c r="S22" s="738"/>
      <c r="T22" s="766"/>
      <c r="U22" s="167" t="s">
        <v>115</v>
      </c>
      <c r="V22" s="149"/>
    </row>
    <row r="23" spans="1:22" s="127" customFormat="1" ht="27" customHeight="1">
      <c r="A23" s="150">
        <v>19</v>
      </c>
      <c r="B23" s="176" t="s">
        <v>106</v>
      </c>
      <c r="C23" s="170" t="s">
        <v>153</v>
      </c>
      <c r="D23" s="170" t="s">
        <v>77</v>
      </c>
      <c r="E23" s="170"/>
      <c r="F23" s="175" t="s">
        <v>108</v>
      </c>
      <c r="G23" s="149">
        <v>1</v>
      </c>
      <c r="H23" s="154">
        <v>46006</v>
      </c>
      <c r="I23" s="775"/>
      <c r="J23" s="151">
        <v>22003</v>
      </c>
      <c r="K23" s="151" t="s">
        <v>125</v>
      </c>
      <c r="L23" s="151" t="s">
        <v>126</v>
      </c>
      <c r="M23" s="151">
        <v>25046</v>
      </c>
      <c r="N23" s="151" t="s">
        <v>151</v>
      </c>
      <c r="O23" s="149" t="s">
        <v>111</v>
      </c>
      <c r="P23" s="149" t="s">
        <v>137</v>
      </c>
      <c r="Q23" s="153" t="s">
        <v>113</v>
      </c>
      <c r="R23" s="183"/>
      <c r="S23" s="738"/>
      <c r="T23" s="766"/>
      <c r="U23" s="167" t="s">
        <v>115</v>
      </c>
      <c r="V23" s="149"/>
    </row>
    <row r="24" spans="1:22" s="127" customFormat="1" ht="27" customHeight="1">
      <c r="A24" s="150">
        <v>20</v>
      </c>
      <c r="B24" s="176" t="s">
        <v>106</v>
      </c>
      <c r="C24" s="170" t="s">
        <v>154</v>
      </c>
      <c r="D24" s="170" t="s">
        <v>80</v>
      </c>
      <c r="E24" s="134"/>
      <c r="F24" s="175" t="s">
        <v>108</v>
      </c>
      <c r="G24" s="149">
        <v>1</v>
      </c>
      <c r="H24" s="154">
        <v>46006</v>
      </c>
      <c r="I24" s="775"/>
      <c r="J24" s="151">
        <v>22003</v>
      </c>
      <c r="K24" s="151" t="s">
        <v>125</v>
      </c>
      <c r="L24" s="151" t="s">
        <v>126</v>
      </c>
      <c r="M24" s="151">
        <v>25046</v>
      </c>
      <c r="N24" s="151" t="s">
        <v>151</v>
      </c>
      <c r="O24" s="149" t="s">
        <v>111</v>
      </c>
      <c r="P24" s="149" t="s">
        <v>137</v>
      </c>
      <c r="Q24" s="153" t="s">
        <v>113</v>
      </c>
      <c r="R24" s="183"/>
      <c r="S24" s="738"/>
      <c r="T24" s="766"/>
      <c r="U24" s="167" t="s">
        <v>115</v>
      </c>
      <c r="V24" s="130"/>
    </row>
    <row r="25" spans="1:22" s="127" customFormat="1" ht="27" customHeight="1">
      <c r="A25" s="150">
        <v>21</v>
      </c>
      <c r="B25" s="176" t="s">
        <v>106</v>
      </c>
      <c r="C25" s="170" t="s">
        <v>155</v>
      </c>
      <c r="D25" s="170" t="s">
        <v>79</v>
      </c>
      <c r="E25" s="134"/>
      <c r="F25" s="175" t="s">
        <v>108</v>
      </c>
      <c r="G25" s="149">
        <v>1</v>
      </c>
      <c r="H25" s="154">
        <v>46006</v>
      </c>
      <c r="I25" s="776"/>
      <c r="J25" s="151">
        <v>22003</v>
      </c>
      <c r="K25" s="151" t="s">
        <v>125</v>
      </c>
      <c r="L25" s="151" t="s">
        <v>126</v>
      </c>
      <c r="M25" s="151">
        <v>25046</v>
      </c>
      <c r="N25" s="151" t="s">
        <v>151</v>
      </c>
      <c r="O25" s="149" t="s">
        <v>111</v>
      </c>
      <c r="P25" s="149" t="s">
        <v>137</v>
      </c>
      <c r="Q25" s="153" t="s">
        <v>113</v>
      </c>
      <c r="R25" s="184"/>
      <c r="S25" s="739"/>
      <c r="T25" s="767"/>
      <c r="U25" s="167" t="s">
        <v>115</v>
      </c>
      <c r="V25" s="130"/>
    </row>
    <row r="26" spans="1:22" s="127" customFormat="1" ht="27" customHeight="1">
      <c r="A26" s="789" t="s">
        <v>156</v>
      </c>
      <c r="B26" s="790"/>
      <c r="C26" s="790"/>
      <c r="D26" s="790"/>
      <c r="E26" s="790"/>
      <c r="F26" s="790"/>
      <c r="G26" s="790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  <c r="S26" s="790"/>
      <c r="T26" s="790"/>
      <c r="U26" s="790"/>
      <c r="V26" s="791"/>
    </row>
    <row r="27" spans="1:22" s="204" customFormat="1" ht="27" customHeight="1">
      <c r="A27" s="195">
        <v>1</v>
      </c>
      <c r="B27" s="196" t="s">
        <v>106</v>
      </c>
      <c r="C27" s="197" t="s">
        <v>157</v>
      </c>
      <c r="D27" s="197" t="s">
        <v>158</v>
      </c>
      <c r="E27" s="197"/>
      <c r="F27" s="198" t="s">
        <v>108</v>
      </c>
      <c r="G27" s="198">
        <v>1</v>
      </c>
      <c r="H27" s="199">
        <v>46048</v>
      </c>
      <c r="I27" s="200">
        <v>1750000</v>
      </c>
      <c r="J27" s="201">
        <v>25037</v>
      </c>
      <c r="K27" s="201" t="s">
        <v>159</v>
      </c>
      <c r="L27" s="201" t="s">
        <v>160</v>
      </c>
      <c r="M27" s="201"/>
      <c r="N27" s="201" t="s">
        <v>161</v>
      </c>
      <c r="O27" s="198" t="s">
        <v>111</v>
      </c>
      <c r="P27" s="198" t="s">
        <v>162</v>
      </c>
      <c r="Q27" s="202"/>
      <c r="R27" s="198"/>
      <c r="S27" s="198"/>
      <c r="T27" s="203">
        <v>25037</v>
      </c>
      <c r="U27" s="203" t="s">
        <v>159</v>
      </c>
      <c r="V27" s="198"/>
    </row>
    <row r="28" spans="1:22" s="204" customFormat="1" ht="27" customHeight="1">
      <c r="A28" s="195">
        <v>2</v>
      </c>
      <c r="B28" s="196" t="s">
        <v>106</v>
      </c>
      <c r="C28" s="197" t="s">
        <v>163</v>
      </c>
      <c r="D28" s="197" t="s">
        <v>158</v>
      </c>
      <c r="E28" s="197"/>
      <c r="F28" s="198" t="s">
        <v>108</v>
      </c>
      <c r="G28" s="198">
        <v>1</v>
      </c>
      <c r="H28" s="199">
        <v>46059</v>
      </c>
      <c r="I28" s="200">
        <v>5333333</v>
      </c>
      <c r="J28" s="201">
        <v>25037</v>
      </c>
      <c r="K28" s="201" t="s">
        <v>159</v>
      </c>
      <c r="L28" s="201" t="s">
        <v>160</v>
      </c>
      <c r="M28" s="201"/>
      <c r="N28" s="201" t="s">
        <v>164</v>
      </c>
      <c r="O28" s="198" t="s">
        <v>111</v>
      </c>
      <c r="P28" s="198"/>
      <c r="Q28" s="202"/>
      <c r="R28" s="198"/>
      <c r="S28" s="198"/>
      <c r="T28" s="203">
        <v>25037</v>
      </c>
      <c r="U28" s="203" t="s">
        <v>159</v>
      </c>
      <c r="V28" s="198"/>
    </row>
    <row r="29" spans="1:22" s="204" customFormat="1" ht="27" customHeight="1">
      <c r="A29" s="195">
        <v>3</v>
      </c>
      <c r="B29" s="196" t="s">
        <v>106</v>
      </c>
      <c r="C29" s="197" t="s">
        <v>165</v>
      </c>
      <c r="D29" s="197" t="s">
        <v>158</v>
      </c>
      <c r="E29" s="197"/>
      <c r="F29" s="198" t="s">
        <v>108</v>
      </c>
      <c r="G29" s="198">
        <v>1</v>
      </c>
      <c r="H29" s="199">
        <v>46059</v>
      </c>
      <c r="I29" s="200">
        <v>8425926</v>
      </c>
      <c r="J29" s="201">
        <v>25037</v>
      </c>
      <c r="K29" s="201" t="s">
        <v>159</v>
      </c>
      <c r="L29" s="201" t="s">
        <v>160</v>
      </c>
      <c r="M29" s="201"/>
      <c r="N29" s="201" t="s">
        <v>133</v>
      </c>
      <c r="O29" s="198" t="s">
        <v>111</v>
      </c>
      <c r="P29" s="198"/>
      <c r="Q29" s="202"/>
      <c r="R29" s="198"/>
      <c r="S29" s="198"/>
      <c r="T29" s="203">
        <v>25037</v>
      </c>
      <c r="U29" s="203" t="s">
        <v>159</v>
      </c>
      <c r="V29" s="198"/>
    </row>
    <row r="30" spans="1:22" s="204" customFormat="1" ht="27" customHeight="1">
      <c r="A30" s="195">
        <v>4</v>
      </c>
      <c r="B30" s="196" t="s">
        <v>106</v>
      </c>
      <c r="C30" s="197" t="s">
        <v>166</v>
      </c>
      <c r="D30" s="197" t="s">
        <v>81</v>
      </c>
      <c r="E30" s="205" t="s">
        <v>167</v>
      </c>
      <c r="F30" s="198" t="s">
        <v>108</v>
      </c>
      <c r="G30" s="198">
        <v>1</v>
      </c>
      <c r="H30" s="199">
        <v>46059</v>
      </c>
      <c r="I30" s="200">
        <v>11666667</v>
      </c>
      <c r="J30" s="201">
        <v>25037</v>
      </c>
      <c r="K30" s="201" t="s">
        <v>159</v>
      </c>
      <c r="L30" s="201" t="s">
        <v>160</v>
      </c>
      <c r="M30" s="201"/>
      <c r="N30" s="201" t="s">
        <v>133</v>
      </c>
      <c r="O30" s="198" t="s">
        <v>111</v>
      </c>
      <c r="P30" s="198"/>
      <c r="Q30" s="202"/>
      <c r="R30" s="198"/>
      <c r="S30" s="198"/>
      <c r="T30" s="203">
        <v>25037</v>
      </c>
      <c r="U30" s="203" t="s">
        <v>159</v>
      </c>
      <c r="V30" s="198"/>
    </row>
    <row r="31" spans="1:22" s="204" customFormat="1" ht="27" customHeight="1">
      <c r="A31" s="206">
        <v>5</v>
      </c>
      <c r="B31" s="207" t="s">
        <v>106</v>
      </c>
      <c r="C31" s="208" t="s">
        <v>168</v>
      </c>
      <c r="D31" s="208" t="s">
        <v>158</v>
      </c>
      <c r="E31" s="208"/>
      <c r="F31" s="209" t="s">
        <v>108</v>
      </c>
      <c r="G31" s="209">
        <v>1</v>
      </c>
      <c r="H31" s="210">
        <v>46059</v>
      </c>
      <c r="I31" s="211">
        <v>5203704</v>
      </c>
      <c r="J31" s="212">
        <v>25037</v>
      </c>
      <c r="K31" s="212" t="s">
        <v>159</v>
      </c>
      <c r="L31" s="212" t="s">
        <v>160</v>
      </c>
      <c r="M31" s="212"/>
      <c r="N31" s="201" t="s">
        <v>133</v>
      </c>
      <c r="O31" s="198" t="s">
        <v>111</v>
      </c>
      <c r="P31" s="198"/>
      <c r="Q31" s="202"/>
      <c r="R31" s="198"/>
      <c r="S31" s="198"/>
      <c r="T31" s="216">
        <v>25037</v>
      </c>
      <c r="U31" s="203" t="s">
        <v>159</v>
      </c>
      <c r="V31" s="198"/>
    </row>
    <row r="32" spans="1:22" s="204" customFormat="1" ht="27" customHeight="1">
      <c r="A32" s="195">
        <v>6</v>
      </c>
      <c r="B32" s="196" t="s">
        <v>106</v>
      </c>
      <c r="C32" s="197" t="s">
        <v>169</v>
      </c>
      <c r="D32" s="197" t="s">
        <v>158</v>
      </c>
      <c r="E32" s="197"/>
      <c r="F32" s="198" t="s">
        <v>108</v>
      </c>
      <c r="G32" s="198">
        <v>1</v>
      </c>
      <c r="H32" s="199">
        <v>46090</v>
      </c>
      <c r="I32" s="200">
        <v>1900000</v>
      </c>
      <c r="J32" s="201">
        <v>26004</v>
      </c>
      <c r="K32" s="201" t="s">
        <v>170</v>
      </c>
      <c r="L32" s="201" t="s">
        <v>160</v>
      </c>
      <c r="M32" s="201"/>
      <c r="N32" s="213" t="s">
        <v>171</v>
      </c>
      <c r="O32" s="198" t="s">
        <v>111</v>
      </c>
      <c r="P32" s="198" t="s">
        <v>162</v>
      </c>
      <c r="Q32" s="202"/>
      <c r="R32" s="198"/>
      <c r="S32" s="225"/>
      <c r="T32" s="221">
        <v>1363358</v>
      </c>
      <c r="U32" s="226" t="s">
        <v>170</v>
      </c>
      <c r="V32" s="198"/>
    </row>
    <row r="33" spans="1:22" s="204" customFormat="1" ht="27" customHeight="1">
      <c r="A33" s="195">
        <v>7</v>
      </c>
      <c r="B33" s="196" t="s">
        <v>106</v>
      </c>
      <c r="C33" s="197" t="s">
        <v>172</v>
      </c>
      <c r="D33" s="197" t="s">
        <v>173</v>
      </c>
      <c r="E33" s="197"/>
      <c r="F33" s="198" t="s">
        <v>108</v>
      </c>
      <c r="G33" s="198">
        <v>1</v>
      </c>
      <c r="H33" s="199">
        <v>46090</v>
      </c>
      <c r="I33" s="200">
        <v>3000000</v>
      </c>
      <c r="J33" s="201">
        <v>26004</v>
      </c>
      <c r="K33" s="201" t="s">
        <v>170</v>
      </c>
      <c r="L33" s="201" t="s">
        <v>160</v>
      </c>
      <c r="M33" s="201"/>
      <c r="N33" s="213" t="s">
        <v>171</v>
      </c>
      <c r="O33" s="198" t="s">
        <v>111</v>
      </c>
      <c r="P33" s="198" t="s">
        <v>162</v>
      </c>
      <c r="Q33" s="202"/>
      <c r="R33" s="198"/>
      <c r="S33" s="225"/>
      <c r="T33" s="221">
        <v>1363358</v>
      </c>
      <c r="U33" s="226" t="s">
        <v>170</v>
      </c>
      <c r="V33" s="198"/>
    </row>
    <row r="34" spans="1:22" s="204" customFormat="1" ht="27" customHeight="1">
      <c r="A34" s="195">
        <v>8</v>
      </c>
      <c r="B34" s="196" t="s">
        <v>106</v>
      </c>
      <c r="C34" s="197" t="s">
        <v>174</v>
      </c>
      <c r="D34" s="197" t="s">
        <v>175</v>
      </c>
      <c r="E34" s="197" t="s">
        <v>176</v>
      </c>
      <c r="F34" s="198" t="s">
        <v>108</v>
      </c>
      <c r="G34" s="198">
        <v>1</v>
      </c>
      <c r="H34" s="199">
        <v>46120</v>
      </c>
      <c r="I34" s="200">
        <v>1350000</v>
      </c>
      <c r="J34" s="201">
        <v>26004</v>
      </c>
      <c r="K34" s="201" t="s">
        <v>170</v>
      </c>
      <c r="L34" s="201" t="s">
        <v>160</v>
      </c>
      <c r="M34" s="201"/>
      <c r="N34" s="214" t="s">
        <v>177</v>
      </c>
      <c r="O34" s="209" t="s">
        <v>111</v>
      </c>
      <c r="P34" s="209" t="s">
        <v>178</v>
      </c>
      <c r="Q34" s="215" t="s">
        <v>179</v>
      </c>
      <c r="R34" s="209"/>
      <c r="S34" s="223"/>
      <c r="T34" s="221">
        <v>1415811</v>
      </c>
      <c r="U34" s="224" t="s">
        <v>170</v>
      </c>
      <c r="V34" s="209"/>
    </row>
    <row r="35" spans="1:22" s="204" customFormat="1" ht="27" customHeight="1">
      <c r="A35" s="195">
        <v>9</v>
      </c>
      <c r="B35" s="196" t="s">
        <v>106</v>
      </c>
      <c r="C35" s="196" t="s">
        <v>180</v>
      </c>
      <c r="D35" s="217" t="s">
        <v>181</v>
      </c>
      <c r="E35" s="197"/>
      <c r="F35" s="198" t="s">
        <v>108</v>
      </c>
      <c r="G35" s="198">
        <v>1</v>
      </c>
      <c r="H35" s="199">
        <v>46183</v>
      </c>
      <c r="I35" s="200">
        <v>47520000</v>
      </c>
      <c r="J35" s="201">
        <v>26016</v>
      </c>
      <c r="K35" s="201" t="s">
        <v>182</v>
      </c>
      <c r="L35" s="201" t="s">
        <v>160</v>
      </c>
      <c r="M35" s="201"/>
      <c r="N35" s="218" t="s">
        <v>171</v>
      </c>
      <c r="O35" s="209" t="s">
        <v>111</v>
      </c>
      <c r="P35" s="223" t="s">
        <v>178</v>
      </c>
      <c r="Q35" s="219" t="s">
        <v>183</v>
      </c>
      <c r="R35" s="219" t="s">
        <v>184</v>
      </c>
      <c r="S35" s="227" t="s">
        <v>185</v>
      </c>
      <c r="T35" s="416">
        <v>1517945</v>
      </c>
      <c r="U35" s="417" t="s">
        <v>182</v>
      </c>
      <c r="V35" s="220"/>
    </row>
    <row r="36" spans="1:22" s="204" customFormat="1" ht="27" customHeight="1">
      <c r="A36" s="195">
        <v>10</v>
      </c>
      <c r="B36" s="196" t="s">
        <v>106</v>
      </c>
      <c r="C36" s="196" t="s">
        <v>186</v>
      </c>
      <c r="D36" s="197" t="s">
        <v>173</v>
      </c>
      <c r="E36" s="197"/>
      <c r="F36" s="198" t="s">
        <v>108</v>
      </c>
      <c r="G36" s="198">
        <v>1</v>
      </c>
      <c r="H36" s="199">
        <v>46183</v>
      </c>
      <c r="I36" s="200">
        <v>4320000</v>
      </c>
      <c r="J36" s="201">
        <v>26016</v>
      </c>
      <c r="K36" s="201" t="s">
        <v>182</v>
      </c>
      <c r="L36" s="201" t="s">
        <v>160</v>
      </c>
      <c r="M36" s="201"/>
      <c r="N36" s="218" t="s">
        <v>171</v>
      </c>
      <c r="O36" s="209" t="s">
        <v>111</v>
      </c>
      <c r="P36" s="223" t="s">
        <v>178</v>
      </c>
      <c r="Q36" s="405" t="s">
        <v>183</v>
      </c>
      <c r="R36" s="405" t="s">
        <v>184</v>
      </c>
      <c r="S36" s="404"/>
      <c r="T36" s="413">
        <v>1539304</v>
      </c>
      <c r="U36" s="221" t="s">
        <v>182</v>
      </c>
      <c r="V36" s="414"/>
    </row>
    <row r="37" spans="1:22" s="204" customFormat="1" ht="29.25" customHeight="1">
      <c r="A37" s="792">
        <v>11</v>
      </c>
      <c r="B37" s="795" t="s">
        <v>106</v>
      </c>
      <c r="C37" s="222" t="s">
        <v>187</v>
      </c>
      <c r="D37" s="197" t="s">
        <v>77</v>
      </c>
      <c r="E37" s="196"/>
      <c r="F37" s="198" t="s">
        <v>108</v>
      </c>
      <c r="G37" s="198">
        <v>1</v>
      </c>
      <c r="H37" s="786">
        <v>46190</v>
      </c>
      <c r="I37" s="200">
        <v>55280000</v>
      </c>
      <c r="J37" s="812">
        <v>26016</v>
      </c>
      <c r="K37" s="812" t="s">
        <v>182</v>
      </c>
      <c r="L37" s="812" t="s">
        <v>160</v>
      </c>
      <c r="M37" s="808">
        <v>26017</v>
      </c>
      <c r="N37" s="815" t="s">
        <v>188</v>
      </c>
      <c r="O37" s="762" t="s">
        <v>111</v>
      </c>
      <c r="P37" s="762" t="s">
        <v>137</v>
      </c>
      <c r="Q37" s="805" t="s">
        <v>113</v>
      </c>
      <c r="R37" s="802" t="s">
        <v>189</v>
      </c>
      <c r="S37" s="756" t="s">
        <v>190</v>
      </c>
      <c r="T37" s="801">
        <v>1530844</v>
      </c>
      <c r="U37" s="818" t="s">
        <v>182</v>
      </c>
      <c r="V37" s="415"/>
    </row>
    <row r="38" spans="1:22" s="204" customFormat="1" ht="29.25" customHeight="1">
      <c r="A38" s="793"/>
      <c r="B38" s="796"/>
      <c r="C38" s="222" t="s">
        <v>191</v>
      </c>
      <c r="D38" s="197" t="s">
        <v>78</v>
      </c>
      <c r="E38" s="196"/>
      <c r="F38" s="198" t="s">
        <v>108</v>
      </c>
      <c r="G38" s="198">
        <v>1</v>
      </c>
      <c r="H38" s="787"/>
      <c r="I38" s="200">
        <v>5200000</v>
      </c>
      <c r="J38" s="813"/>
      <c r="K38" s="813"/>
      <c r="L38" s="813"/>
      <c r="M38" s="809"/>
      <c r="N38" s="813"/>
      <c r="O38" s="763"/>
      <c r="P38" s="763"/>
      <c r="Q38" s="806"/>
      <c r="R38" s="803"/>
      <c r="S38" s="757"/>
      <c r="T38" s="801"/>
      <c r="U38" s="818"/>
      <c r="V38" s="415"/>
    </row>
    <row r="39" spans="1:22" s="204" customFormat="1" ht="29.25" customHeight="1">
      <c r="A39" s="793"/>
      <c r="B39" s="796"/>
      <c r="C39" s="222" t="s">
        <v>192</v>
      </c>
      <c r="D39" s="196" t="s">
        <v>79</v>
      </c>
      <c r="E39" s="196"/>
      <c r="F39" s="198" t="s">
        <v>108</v>
      </c>
      <c r="G39" s="198">
        <v>1</v>
      </c>
      <c r="H39" s="787"/>
      <c r="I39" s="195">
        <v>0</v>
      </c>
      <c r="J39" s="813"/>
      <c r="K39" s="813"/>
      <c r="L39" s="813"/>
      <c r="M39" s="809"/>
      <c r="N39" s="813"/>
      <c r="O39" s="763"/>
      <c r="P39" s="763"/>
      <c r="Q39" s="806"/>
      <c r="R39" s="803"/>
      <c r="S39" s="757"/>
      <c r="T39" s="801"/>
      <c r="U39" s="818"/>
      <c r="V39" s="415"/>
    </row>
    <row r="40" spans="1:22" s="204" customFormat="1" ht="29.25" customHeight="1">
      <c r="A40" s="794"/>
      <c r="B40" s="797"/>
      <c r="C40" s="222" t="s">
        <v>193</v>
      </c>
      <c r="D40" s="196" t="s">
        <v>80</v>
      </c>
      <c r="E40" s="196"/>
      <c r="F40" s="198" t="s">
        <v>108</v>
      </c>
      <c r="G40" s="198">
        <v>1</v>
      </c>
      <c r="H40" s="788"/>
      <c r="I40" s="195">
        <v>0</v>
      </c>
      <c r="J40" s="814"/>
      <c r="K40" s="814"/>
      <c r="L40" s="814"/>
      <c r="M40" s="810"/>
      <c r="N40" s="816"/>
      <c r="O40" s="817"/>
      <c r="P40" s="764"/>
      <c r="Q40" s="807"/>
      <c r="R40" s="804"/>
      <c r="S40" s="758"/>
      <c r="T40" s="801"/>
      <c r="U40" s="818"/>
      <c r="V40" s="415"/>
    </row>
    <row r="41" spans="1:22" ht="29.25" customHeight="1">
      <c r="A41" s="792">
        <v>12</v>
      </c>
      <c r="B41" s="196" t="s">
        <v>106</v>
      </c>
      <c r="C41" s="222" t="s">
        <v>194</v>
      </c>
      <c r="D41" s="197" t="s">
        <v>77</v>
      </c>
      <c r="E41" s="196"/>
      <c r="F41" s="198" t="s">
        <v>108</v>
      </c>
      <c r="G41" s="198">
        <v>1</v>
      </c>
      <c r="H41" s="819">
        <v>46203</v>
      </c>
      <c r="I41" s="200">
        <v>12690000</v>
      </c>
      <c r="J41" s="768">
        <v>26016</v>
      </c>
      <c r="K41" s="768" t="s">
        <v>182</v>
      </c>
      <c r="L41" s="768" t="s">
        <v>160</v>
      </c>
      <c r="M41" s="490">
        <v>20002</v>
      </c>
      <c r="N41" s="249" t="s">
        <v>195</v>
      </c>
      <c r="O41" s="762" t="s">
        <v>111</v>
      </c>
      <c r="P41" s="765" t="s">
        <v>137</v>
      </c>
      <c r="Q41" s="771" t="s">
        <v>113</v>
      </c>
      <c r="R41" s="759" t="s">
        <v>189</v>
      </c>
      <c r="S41" s="756" t="s">
        <v>196</v>
      </c>
      <c r="T41" s="753">
        <v>1568389</v>
      </c>
      <c r="U41" s="750" t="s">
        <v>182</v>
      </c>
      <c r="V41" s="194"/>
    </row>
    <row r="42" spans="1:22" ht="29.25" customHeight="1">
      <c r="A42" s="793"/>
      <c r="B42" s="196" t="s">
        <v>106</v>
      </c>
      <c r="C42" s="222" t="s">
        <v>197</v>
      </c>
      <c r="D42" s="196" t="s">
        <v>79</v>
      </c>
      <c r="E42" s="196"/>
      <c r="F42" s="198" t="s">
        <v>108</v>
      </c>
      <c r="G42" s="198">
        <v>1</v>
      </c>
      <c r="H42" s="820"/>
      <c r="I42" s="200">
        <v>0</v>
      </c>
      <c r="J42" s="769"/>
      <c r="K42" s="769"/>
      <c r="L42" s="769"/>
      <c r="M42" s="434"/>
      <c r="N42" s="249" t="s">
        <v>198</v>
      </c>
      <c r="O42" s="763"/>
      <c r="P42" s="766"/>
      <c r="Q42" s="772"/>
      <c r="R42" s="760"/>
      <c r="S42" s="757"/>
      <c r="T42" s="754"/>
      <c r="U42" s="751"/>
      <c r="V42" s="194"/>
    </row>
    <row r="43" spans="1:22" ht="29.25" customHeight="1">
      <c r="A43" s="793"/>
      <c r="B43" s="196" t="s">
        <v>106</v>
      </c>
      <c r="C43" s="222" t="s">
        <v>199</v>
      </c>
      <c r="D43" s="196" t="s">
        <v>80</v>
      </c>
      <c r="E43" s="196"/>
      <c r="F43" s="198" t="s">
        <v>108</v>
      </c>
      <c r="G43" s="198">
        <v>1</v>
      </c>
      <c r="H43" s="821"/>
      <c r="I43" s="200">
        <v>0</v>
      </c>
      <c r="J43" s="770"/>
      <c r="K43" s="770"/>
      <c r="L43" s="770"/>
      <c r="M43" s="434"/>
      <c r="N43" s="249" t="s">
        <v>198</v>
      </c>
      <c r="O43" s="764"/>
      <c r="P43" s="767"/>
      <c r="Q43" s="773"/>
      <c r="R43" s="761"/>
      <c r="S43" s="758"/>
      <c r="T43" s="754"/>
      <c r="U43" s="751"/>
      <c r="V43" s="194"/>
    </row>
    <row r="44" spans="1:22" ht="29.25" customHeight="1">
      <c r="A44" s="794">
        <v>12</v>
      </c>
      <c r="B44" s="196" t="s">
        <v>106</v>
      </c>
      <c r="C44" s="222" t="s">
        <v>200</v>
      </c>
      <c r="D44" s="197" t="s">
        <v>77</v>
      </c>
      <c r="E44" s="196"/>
      <c r="F44" s="198" t="s">
        <v>108</v>
      </c>
      <c r="G44" s="198">
        <v>1</v>
      </c>
      <c r="H44" s="819">
        <v>46203</v>
      </c>
      <c r="I44" s="200">
        <v>12690000</v>
      </c>
      <c r="J44" s="768">
        <v>26016</v>
      </c>
      <c r="K44" s="768" t="s">
        <v>182</v>
      </c>
      <c r="L44" s="768" t="s">
        <v>160</v>
      </c>
      <c r="M44" s="490">
        <v>22002</v>
      </c>
      <c r="N44" s="249" t="s">
        <v>201</v>
      </c>
      <c r="O44" s="762" t="s">
        <v>111</v>
      </c>
      <c r="P44" s="765" t="s">
        <v>137</v>
      </c>
      <c r="Q44" s="771" t="s">
        <v>113</v>
      </c>
      <c r="R44" s="759" t="s">
        <v>189</v>
      </c>
      <c r="S44" s="756" t="s">
        <v>196</v>
      </c>
      <c r="T44" s="753">
        <v>1568389</v>
      </c>
      <c r="U44" s="750" t="s">
        <v>182</v>
      </c>
      <c r="V44" s="194"/>
    </row>
    <row r="45" spans="1:22" ht="29.25" customHeight="1">
      <c r="A45" s="792">
        <v>13</v>
      </c>
      <c r="B45" s="196" t="s">
        <v>106</v>
      </c>
      <c r="C45" s="222" t="s">
        <v>202</v>
      </c>
      <c r="D45" s="196" t="s">
        <v>79</v>
      </c>
      <c r="E45" s="196"/>
      <c r="F45" s="198" t="s">
        <v>108</v>
      </c>
      <c r="G45" s="198">
        <v>1</v>
      </c>
      <c r="H45" s="820"/>
      <c r="I45" s="200">
        <v>0</v>
      </c>
      <c r="J45" s="769"/>
      <c r="K45" s="769"/>
      <c r="L45" s="769"/>
      <c r="M45" s="434"/>
      <c r="N45" s="249" t="s">
        <v>198</v>
      </c>
      <c r="O45" s="763"/>
      <c r="P45" s="766"/>
      <c r="Q45" s="772"/>
      <c r="R45" s="760"/>
      <c r="S45" s="757"/>
      <c r="T45" s="754"/>
      <c r="U45" s="751"/>
      <c r="V45" s="194"/>
    </row>
    <row r="46" spans="1:22" ht="29.25" customHeight="1">
      <c r="A46" s="793"/>
      <c r="B46" s="196" t="s">
        <v>106</v>
      </c>
      <c r="C46" s="222" t="s">
        <v>203</v>
      </c>
      <c r="D46" s="196" t="s">
        <v>80</v>
      </c>
      <c r="E46" s="196"/>
      <c r="F46" s="198" t="s">
        <v>108</v>
      </c>
      <c r="G46" s="198">
        <v>1</v>
      </c>
      <c r="H46" s="821"/>
      <c r="I46" s="200">
        <v>0</v>
      </c>
      <c r="J46" s="770"/>
      <c r="K46" s="770"/>
      <c r="L46" s="770"/>
      <c r="M46" s="434"/>
      <c r="N46" s="249" t="s">
        <v>198</v>
      </c>
      <c r="O46" s="764"/>
      <c r="P46" s="767"/>
      <c r="Q46" s="773"/>
      <c r="R46" s="761"/>
      <c r="S46" s="758"/>
      <c r="T46" s="754"/>
      <c r="U46" s="751"/>
      <c r="V46" s="194"/>
    </row>
    <row r="47" spans="1:22" ht="29.25" customHeight="1">
      <c r="A47" s="793"/>
      <c r="B47" s="196" t="s">
        <v>106</v>
      </c>
      <c r="C47" s="222" t="s">
        <v>204</v>
      </c>
      <c r="D47" s="197" t="s">
        <v>77</v>
      </c>
      <c r="E47" s="196"/>
      <c r="F47" s="198" t="s">
        <v>108</v>
      </c>
      <c r="G47" s="198">
        <v>1</v>
      </c>
      <c r="H47" s="819">
        <v>46203</v>
      </c>
      <c r="I47" s="200">
        <v>12690000</v>
      </c>
      <c r="J47" s="768">
        <v>26016</v>
      </c>
      <c r="K47" s="768" t="s">
        <v>182</v>
      </c>
      <c r="L47" s="768" t="s">
        <v>160</v>
      </c>
      <c r="M47" s="490">
        <v>26014</v>
      </c>
      <c r="N47" s="249" t="s">
        <v>205</v>
      </c>
      <c r="O47" s="762" t="s">
        <v>111</v>
      </c>
      <c r="P47" s="765" t="s">
        <v>137</v>
      </c>
      <c r="Q47" s="771" t="s">
        <v>113</v>
      </c>
      <c r="R47" s="759" t="s">
        <v>189</v>
      </c>
      <c r="S47" s="756" t="s">
        <v>196</v>
      </c>
      <c r="T47" s="753">
        <v>1568389</v>
      </c>
      <c r="U47" s="750" t="s">
        <v>182</v>
      </c>
      <c r="V47" s="194"/>
    </row>
    <row r="48" spans="1:22" ht="29.25" customHeight="1">
      <c r="A48" s="794"/>
      <c r="B48" s="196" t="s">
        <v>106</v>
      </c>
      <c r="C48" s="222" t="s">
        <v>206</v>
      </c>
      <c r="D48" s="196" t="s">
        <v>79</v>
      </c>
      <c r="E48" s="196"/>
      <c r="F48" s="198" t="s">
        <v>108</v>
      </c>
      <c r="G48" s="198">
        <v>1</v>
      </c>
      <c r="H48" s="820"/>
      <c r="I48" s="200">
        <v>0</v>
      </c>
      <c r="J48" s="769"/>
      <c r="K48" s="769"/>
      <c r="L48" s="769"/>
      <c r="M48" s="434"/>
      <c r="N48" s="249" t="s">
        <v>198</v>
      </c>
      <c r="O48" s="763"/>
      <c r="P48" s="766"/>
      <c r="Q48" s="772"/>
      <c r="R48" s="760"/>
      <c r="S48" s="757"/>
      <c r="T48" s="754"/>
      <c r="U48" s="751"/>
      <c r="V48" s="194"/>
    </row>
    <row r="49" spans="1:22" ht="29.25" customHeight="1">
      <c r="A49" s="792">
        <v>14</v>
      </c>
      <c r="B49" s="196" t="s">
        <v>106</v>
      </c>
      <c r="C49" s="222" t="s">
        <v>207</v>
      </c>
      <c r="D49" s="196" t="s">
        <v>80</v>
      </c>
      <c r="E49" s="196"/>
      <c r="F49" s="198" t="s">
        <v>108</v>
      </c>
      <c r="G49" s="198">
        <v>1</v>
      </c>
      <c r="H49" s="821"/>
      <c r="I49" s="200">
        <v>0</v>
      </c>
      <c r="J49" s="770"/>
      <c r="K49" s="770"/>
      <c r="L49" s="770"/>
      <c r="M49" s="434"/>
      <c r="N49" s="249" t="s">
        <v>198</v>
      </c>
      <c r="O49" s="764"/>
      <c r="P49" s="767"/>
      <c r="Q49" s="773"/>
      <c r="R49" s="761"/>
      <c r="S49" s="758"/>
      <c r="T49" s="754"/>
      <c r="U49" s="751"/>
      <c r="V49" s="194"/>
    </row>
    <row r="50" spans="1:22" ht="29.25" customHeight="1">
      <c r="A50" s="793">
        <v>12</v>
      </c>
      <c r="B50" s="196" t="s">
        <v>106</v>
      </c>
      <c r="C50" s="222" t="s">
        <v>208</v>
      </c>
      <c r="D50" s="197" t="s">
        <v>77</v>
      </c>
      <c r="E50" s="196"/>
      <c r="F50" s="198" t="s">
        <v>108</v>
      </c>
      <c r="G50" s="225">
        <v>1</v>
      </c>
      <c r="H50" s="819">
        <v>46203</v>
      </c>
      <c r="I50" s="200">
        <v>12690000</v>
      </c>
      <c r="J50" s="768">
        <v>26016</v>
      </c>
      <c r="K50" s="768" t="s">
        <v>182</v>
      </c>
      <c r="L50" s="768" t="s">
        <v>160</v>
      </c>
      <c r="M50" s="490">
        <v>24007</v>
      </c>
      <c r="N50" s="249" t="s">
        <v>209</v>
      </c>
      <c r="O50" s="762" t="s">
        <v>111</v>
      </c>
      <c r="P50" s="765" t="s">
        <v>137</v>
      </c>
      <c r="Q50" s="771" t="s">
        <v>113</v>
      </c>
      <c r="R50" s="759" t="s">
        <v>189</v>
      </c>
      <c r="S50" s="756" t="s">
        <v>196</v>
      </c>
      <c r="T50" s="753">
        <v>1568389</v>
      </c>
      <c r="U50" s="750" t="s">
        <v>182</v>
      </c>
      <c r="V50" s="194"/>
    </row>
    <row r="51" spans="1:22" ht="29.25" customHeight="1">
      <c r="A51" s="793"/>
      <c r="B51" s="196" t="s">
        <v>106</v>
      </c>
      <c r="C51" s="222" t="s">
        <v>210</v>
      </c>
      <c r="D51" s="196" t="s">
        <v>79</v>
      </c>
      <c r="E51" s="196"/>
      <c r="F51" s="198" t="s">
        <v>108</v>
      </c>
      <c r="G51" s="225">
        <v>1</v>
      </c>
      <c r="H51" s="820"/>
      <c r="I51" s="200">
        <v>0</v>
      </c>
      <c r="J51" s="769"/>
      <c r="K51" s="769"/>
      <c r="L51" s="769"/>
      <c r="M51" s="434"/>
      <c r="N51" s="249" t="s">
        <v>198</v>
      </c>
      <c r="O51" s="763"/>
      <c r="P51" s="766"/>
      <c r="Q51" s="772"/>
      <c r="R51" s="760"/>
      <c r="S51" s="757"/>
      <c r="T51" s="754"/>
      <c r="U51" s="751"/>
      <c r="V51" s="194"/>
    </row>
    <row r="52" spans="1:22" ht="29.25" customHeight="1">
      <c r="A52" s="794"/>
      <c r="B52" s="196" t="s">
        <v>106</v>
      </c>
      <c r="C52" s="222" t="s">
        <v>211</v>
      </c>
      <c r="D52" s="196" t="s">
        <v>80</v>
      </c>
      <c r="E52" s="196"/>
      <c r="F52" s="198" t="s">
        <v>108</v>
      </c>
      <c r="G52" s="225">
        <v>1</v>
      </c>
      <c r="H52" s="821"/>
      <c r="I52" s="200">
        <v>0</v>
      </c>
      <c r="J52" s="770"/>
      <c r="K52" s="770"/>
      <c r="L52" s="770"/>
      <c r="M52" s="434"/>
      <c r="N52" s="249" t="s">
        <v>198</v>
      </c>
      <c r="O52" s="764"/>
      <c r="P52" s="767"/>
      <c r="Q52" s="773"/>
      <c r="R52" s="761"/>
      <c r="S52" s="758"/>
      <c r="T52" s="754"/>
      <c r="U52" s="751"/>
      <c r="V52" s="194"/>
    </row>
    <row r="53" spans="1:22" ht="29.25" customHeight="1">
      <c r="A53" s="792">
        <v>15</v>
      </c>
      <c r="B53" s="196" t="s">
        <v>106</v>
      </c>
      <c r="C53" s="222" t="s">
        <v>212</v>
      </c>
      <c r="D53" s="197" t="s">
        <v>77</v>
      </c>
      <c r="E53" s="196"/>
      <c r="F53" s="198" t="s">
        <v>108</v>
      </c>
      <c r="G53" s="225">
        <v>1</v>
      </c>
      <c r="H53" s="819">
        <v>46203</v>
      </c>
      <c r="I53" s="200">
        <v>12690000</v>
      </c>
      <c r="J53" s="768">
        <v>26016</v>
      </c>
      <c r="K53" s="768" t="s">
        <v>182</v>
      </c>
      <c r="L53" s="768" t="s">
        <v>160</v>
      </c>
      <c r="M53" s="492"/>
      <c r="N53" s="250" t="s">
        <v>198</v>
      </c>
      <c r="O53" s="762" t="s">
        <v>111</v>
      </c>
      <c r="P53" s="765" t="s">
        <v>137</v>
      </c>
      <c r="Q53" s="771" t="s">
        <v>113</v>
      </c>
      <c r="R53" s="759" t="s">
        <v>189</v>
      </c>
      <c r="S53" s="756" t="s">
        <v>196</v>
      </c>
      <c r="T53" s="753">
        <v>1568389</v>
      </c>
      <c r="U53" s="750" t="s">
        <v>182</v>
      </c>
      <c r="V53" s="194"/>
    </row>
    <row r="54" spans="1:22" ht="29.25" customHeight="1">
      <c r="A54" s="793"/>
      <c r="B54" s="196" t="s">
        <v>106</v>
      </c>
      <c r="C54" s="222" t="s">
        <v>213</v>
      </c>
      <c r="D54" s="196" t="s">
        <v>79</v>
      </c>
      <c r="E54" s="196"/>
      <c r="F54" s="198" t="s">
        <v>108</v>
      </c>
      <c r="G54" s="225">
        <v>1</v>
      </c>
      <c r="H54" s="820"/>
      <c r="I54" s="200">
        <v>0</v>
      </c>
      <c r="J54" s="769"/>
      <c r="K54" s="769"/>
      <c r="L54" s="769"/>
      <c r="M54" s="493"/>
      <c r="N54" s="249" t="s">
        <v>198</v>
      </c>
      <c r="O54" s="763"/>
      <c r="P54" s="766"/>
      <c r="Q54" s="772"/>
      <c r="R54" s="760"/>
      <c r="S54" s="757"/>
      <c r="T54" s="754"/>
      <c r="U54" s="751"/>
      <c r="V54" s="248"/>
    </row>
    <row r="55" spans="1:22" ht="29.25" customHeight="1">
      <c r="A55" s="793"/>
      <c r="B55" s="196" t="s">
        <v>106</v>
      </c>
      <c r="C55" s="222" t="s">
        <v>214</v>
      </c>
      <c r="D55" s="196" t="s">
        <v>80</v>
      </c>
      <c r="E55" s="196"/>
      <c r="F55" s="198" t="s">
        <v>108</v>
      </c>
      <c r="G55" s="225">
        <v>1</v>
      </c>
      <c r="H55" s="821"/>
      <c r="I55" s="200">
        <v>0</v>
      </c>
      <c r="J55" s="770"/>
      <c r="K55" s="770"/>
      <c r="L55" s="770"/>
      <c r="M55" s="475"/>
      <c r="N55" s="249" t="s">
        <v>198</v>
      </c>
      <c r="O55" s="764"/>
      <c r="P55" s="767"/>
      <c r="Q55" s="773"/>
      <c r="R55" s="761"/>
      <c r="S55" s="758"/>
      <c r="T55" s="754"/>
      <c r="U55" s="751"/>
      <c r="V55" s="194"/>
    </row>
    <row r="56" spans="1:22" ht="29.25" customHeight="1">
      <c r="A56" s="794">
        <v>12</v>
      </c>
      <c r="B56" s="196" t="s">
        <v>106</v>
      </c>
      <c r="C56" s="222" t="s">
        <v>215</v>
      </c>
      <c r="D56" s="197" t="s">
        <v>77</v>
      </c>
      <c r="E56" s="196"/>
      <c r="F56" s="198" t="s">
        <v>108</v>
      </c>
      <c r="G56" s="225">
        <v>1</v>
      </c>
      <c r="H56" s="819">
        <v>46203</v>
      </c>
      <c r="I56" s="200">
        <v>12690000</v>
      </c>
      <c r="J56" s="768">
        <v>26016</v>
      </c>
      <c r="K56" s="768" t="s">
        <v>182</v>
      </c>
      <c r="L56" s="768" t="s">
        <v>160</v>
      </c>
      <c r="M56" s="491">
        <v>25041</v>
      </c>
      <c r="N56" s="250" t="s">
        <v>216</v>
      </c>
      <c r="O56" s="762" t="s">
        <v>111</v>
      </c>
      <c r="P56" s="765" t="s">
        <v>137</v>
      </c>
      <c r="Q56" s="771" t="s">
        <v>113</v>
      </c>
      <c r="R56" s="759" t="s">
        <v>189</v>
      </c>
      <c r="S56" s="756" t="s">
        <v>196</v>
      </c>
      <c r="T56" s="753">
        <v>1568389</v>
      </c>
      <c r="U56" s="750" t="s">
        <v>182</v>
      </c>
      <c r="V56" s="194"/>
    </row>
    <row r="57" spans="1:22" ht="29.25" customHeight="1">
      <c r="A57" s="792">
        <v>16</v>
      </c>
      <c r="B57" s="196" t="s">
        <v>106</v>
      </c>
      <c r="C57" s="222" t="s">
        <v>217</v>
      </c>
      <c r="D57" s="196" t="s">
        <v>79</v>
      </c>
      <c r="E57" s="196"/>
      <c r="F57" s="198" t="s">
        <v>108</v>
      </c>
      <c r="G57" s="225">
        <v>1</v>
      </c>
      <c r="H57" s="820"/>
      <c r="I57" s="200">
        <v>0</v>
      </c>
      <c r="J57" s="769"/>
      <c r="K57" s="769"/>
      <c r="L57" s="769"/>
      <c r="M57" s="475"/>
      <c r="N57" s="249" t="s">
        <v>198</v>
      </c>
      <c r="O57" s="763"/>
      <c r="P57" s="766"/>
      <c r="Q57" s="772"/>
      <c r="R57" s="760"/>
      <c r="S57" s="757"/>
      <c r="T57" s="754"/>
      <c r="U57" s="751"/>
      <c r="V57" s="194"/>
    </row>
    <row r="58" spans="1:22" ht="29.25" customHeight="1">
      <c r="A58" s="793"/>
      <c r="B58" s="196" t="s">
        <v>106</v>
      </c>
      <c r="C58" s="222" t="s">
        <v>218</v>
      </c>
      <c r="D58" s="196" t="s">
        <v>80</v>
      </c>
      <c r="E58" s="196"/>
      <c r="F58" s="198" t="s">
        <v>108</v>
      </c>
      <c r="G58" s="225">
        <v>1</v>
      </c>
      <c r="H58" s="821"/>
      <c r="I58" s="200">
        <v>0</v>
      </c>
      <c r="J58" s="770"/>
      <c r="K58" s="770"/>
      <c r="L58" s="770"/>
      <c r="M58" s="475"/>
      <c r="N58" s="249" t="s">
        <v>198</v>
      </c>
      <c r="O58" s="764"/>
      <c r="P58" s="767"/>
      <c r="Q58" s="773"/>
      <c r="R58" s="761"/>
      <c r="S58" s="758"/>
      <c r="T58" s="754"/>
      <c r="U58" s="751"/>
      <c r="V58" s="194"/>
    </row>
    <row r="59" spans="1:22" ht="29.25" customHeight="1">
      <c r="A59" s="793"/>
      <c r="B59" s="196" t="s">
        <v>106</v>
      </c>
      <c r="C59" s="222" t="s">
        <v>219</v>
      </c>
      <c r="D59" s="197" t="s">
        <v>77</v>
      </c>
      <c r="E59" s="196"/>
      <c r="F59" s="198" t="s">
        <v>108</v>
      </c>
      <c r="G59" s="225">
        <v>1</v>
      </c>
      <c r="H59" s="819">
        <v>46203</v>
      </c>
      <c r="I59" s="200">
        <v>12690000</v>
      </c>
      <c r="J59" s="768">
        <v>26016</v>
      </c>
      <c r="K59" s="768" t="s">
        <v>182</v>
      </c>
      <c r="L59" s="768" t="s">
        <v>160</v>
      </c>
      <c r="M59" s="475">
        <v>25021</v>
      </c>
      <c r="N59" s="250" t="s">
        <v>115</v>
      </c>
      <c r="O59" s="762" t="s">
        <v>111</v>
      </c>
      <c r="P59" s="765" t="s">
        <v>137</v>
      </c>
      <c r="Q59" s="771" t="s">
        <v>113</v>
      </c>
      <c r="R59" s="759" t="s">
        <v>189</v>
      </c>
      <c r="S59" s="756" t="s">
        <v>196</v>
      </c>
      <c r="T59" s="753">
        <v>1568389</v>
      </c>
      <c r="U59" s="750" t="s">
        <v>182</v>
      </c>
      <c r="V59" s="194"/>
    </row>
    <row r="60" spans="1:22" ht="29.25" customHeight="1">
      <c r="A60" s="794"/>
      <c r="B60" s="196" t="s">
        <v>106</v>
      </c>
      <c r="C60" s="222" t="s">
        <v>220</v>
      </c>
      <c r="D60" s="196" t="s">
        <v>79</v>
      </c>
      <c r="E60" s="196"/>
      <c r="F60" s="198" t="s">
        <v>108</v>
      </c>
      <c r="G60" s="225">
        <v>1</v>
      </c>
      <c r="H60" s="820"/>
      <c r="I60" s="200">
        <v>0</v>
      </c>
      <c r="J60" s="769"/>
      <c r="K60" s="769"/>
      <c r="L60" s="769"/>
      <c r="M60" s="475"/>
      <c r="N60" s="249" t="s">
        <v>198</v>
      </c>
      <c r="O60" s="763"/>
      <c r="P60" s="766"/>
      <c r="Q60" s="772"/>
      <c r="R60" s="760"/>
      <c r="S60" s="757"/>
      <c r="T60" s="754"/>
      <c r="U60" s="751"/>
      <c r="V60" s="194"/>
    </row>
    <row r="61" spans="1:22" ht="29.25" customHeight="1">
      <c r="A61" s="792">
        <v>17</v>
      </c>
      <c r="B61" s="196" t="s">
        <v>106</v>
      </c>
      <c r="C61" s="222" t="s">
        <v>221</v>
      </c>
      <c r="D61" s="196" t="s">
        <v>80</v>
      </c>
      <c r="E61" s="196"/>
      <c r="F61" s="198" t="s">
        <v>108</v>
      </c>
      <c r="G61" s="225">
        <v>1</v>
      </c>
      <c r="H61" s="821"/>
      <c r="I61" s="200">
        <v>0</v>
      </c>
      <c r="J61" s="770"/>
      <c r="K61" s="770"/>
      <c r="L61" s="770"/>
      <c r="M61" s="475"/>
      <c r="N61" s="249" t="s">
        <v>198</v>
      </c>
      <c r="O61" s="764"/>
      <c r="P61" s="767"/>
      <c r="Q61" s="773"/>
      <c r="R61" s="761"/>
      <c r="S61" s="758"/>
      <c r="T61" s="754"/>
      <c r="U61" s="751"/>
      <c r="V61" s="194"/>
    </row>
    <row r="62" spans="1:22" ht="29.25" customHeight="1">
      <c r="A62" s="793">
        <v>12</v>
      </c>
      <c r="B62" s="196" t="s">
        <v>106</v>
      </c>
      <c r="C62" s="222" t="s">
        <v>222</v>
      </c>
      <c r="D62" s="197" t="s">
        <v>77</v>
      </c>
      <c r="E62" s="196"/>
      <c r="F62" s="198" t="s">
        <v>108</v>
      </c>
      <c r="G62" s="225">
        <v>1</v>
      </c>
      <c r="H62" s="819">
        <v>46203</v>
      </c>
      <c r="I62" s="200">
        <v>12690000</v>
      </c>
      <c r="J62" s="768">
        <v>26016</v>
      </c>
      <c r="K62" s="768" t="s">
        <v>182</v>
      </c>
      <c r="L62" s="768" t="s">
        <v>160</v>
      </c>
      <c r="M62" s="475">
        <v>26016</v>
      </c>
      <c r="N62" s="250" t="s">
        <v>182</v>
      </c>
      <c r="O62" s="762" t="s">
        <v>111</v>
      </c>
      <c r="P62" s="765" t="s">
        <v>137</v>
      </c>
      <c r="Q62" s="771" t="s">
        <v>113</v>
      </c>
      <c r="R62" s="759" t="s">
        <v>189</v>
      </c>
      <c r="S62" s="756" t="s">
        <v>196</v>
      </c>
      <c r="T62" s="755">
        <v>1568389</v>
      </c>
      <c r="U62" s="752" t="s">
        <v>182</v>
      </c>
      <c r="V62" s="442"/>
    </row>
    <row r="63" spans="1:22" ht="29.25" customHeight="1">
      <c r="A63" s="793"/>
      <c r="B63" s="196" t="s">
        <v>106</v>
      </c>
      <c r="C63" s="222" t="s">
        <v>223</v>
      </c>
      <c r="D63" s="196" t="s">
        <v>79</v>
      </c>
      <c r="E63" s="196"/>
      <c r="F63" s="198" t="s">
        <v>108</v>
      </c>
      <c r="G63" s="225">
        <v>1</v>
      </c>
      <c r="H63" s="820"/>
      <c r="I63" s="200">
        <v>0</v>
      </c>
      <c r="J63" s="769"/>
      <c r="K63" s="769"/>
      <c r="L63" s="769"/>
      <c r="M63" s="475"/>
      <c r="N63" s="249" t="s">
        <v>198</v>
      </c>
      <c r="O63" s="763"/>
      <c r="P63" s="766"/>
      <c r="Q63" s="772"/>
      <c r="R63" s="760"/>
      <c r="S63" s="757"/>
      <c r="T63" s="755"/>
      <c r="U63" s="752"/>
      <c r="V63" s="442"/>
    </row>
    <row r="64" spans="1:22" ht="29.25" customHeight="1">
      <c r="A64" s="794"/>
      <c r="B64" s="207" t="s">
        <v>106</v>
      </c>
      <c r="C64" s="466" t="s">
        <v>224</v>
      </c>
      <c r="D64" s="207" t="s">
        <v>80</v>
      </c>
      <c r="E64" s="207"/>
      <c r="F64" s="209" t="s">
        <v>108</v>
      </c>
      <c r="G64" s="223">
        <v>1</v>
      </c>
      <c r="H64" s="820"/>
      <c r="I64" s="211">
        <v>0</v>
      </c>
      <c r="J64" s="769"/>
      <c r="K64" s="769"/>
      <c r="L64" s="769"/>
      <c r="M64" s="435"/>
      <c r="N64" s="467" t="s">
        <v>198</v>
      </c>
      <c r="O64" s="763"/>
      <c r="P64" s="766"/>
      <c r="Q64" s="773"/>
      <c r="R64" s="761"/>
      <c r="S64" s="758"/>
      <c r="T64" s="753"/>
      <c r="U64" s="750"/>
      <c r="V64" s="468"/>
    </row>
    <row r="65" spans="1:22" ht="29.25" customHeight="1">
      <c r="A65" s="461">
        <v>18</v>
      </c>
      <c r="B65" s="207" t="s">
        <v>106</v>
      </c>
      <c r="C65" s="463" t="s">
        <v>225</v>
      </c>
      <c r="D65" s="462" t="s">
        <v>76</v>
      </c>
      <c r="E65" s="462"/>
      <c r="F65" s="223" t="s">
        <v>108</v>
      </c>
      <c r="G65" s="220">
        <v>1</v>
      </c>
      <c r="H65" s="472">
        <v>46220</v>
      </c>
      <c r="I65" s="464">
        <v>34890000</v>
      </c>
      <c r="J65" s="473">
        <v>26016</v>
      </c>
      <c r="K65" s="473" t="s">
        <v>182</v>
      </c>
      <c r="L65" s="473" t="s">
        <v>160</v>
      </c>
      <c r="M65" s="475">
        <v>21003</v>
      </c>
      <c r="N65" s="250" t="s">
        <v>161</v>
      </c>
      <c r="O65" s="220" t="s">
        <v>111</v>
      </c>
      <c r="P65" s="465" t="s">
        <v>226</v>
      </c>
      <c r="Q65" s="494" t="s">
        <v>227</v>
      </c>
      <c r="R65" s="495" t="s">
        <v>228</v>
      </c>
      <c r="S65" s="488" t="s">
        <v>229</v>
      </c>
      <c r="T65" s="474">
        <v>1585192</v>
      </c>
      <c r="U65" s="489" t="s">
        <v>182</v>
      </c>
      <c r="V65" s="442"/>
    </row>
    <row r="66" spans="1:22" ht="41.25" customHeight="1">
      <c r="A66" s="461">
        <v>18</v>
      </c>
      <c r="B66" s="207" t="s">
        <v>106</v>
      </c>
      <c r="C66" s="463" t="s">
        <v>230</v>
      </c>
      <c r="D66" s="197" t="s">
        <v>78</v>
      </c>
      <c r="E66" s="462"/>
      <c r="F66" s="223" t="s">
        <v>108</v>
      </c>
      <c r="G66" s="220">
        <v>1</v>
      </c>
      <c r="H66" s="472">
        <v>46261</v>
      </c>
      <c r="I66" s="464">
        <v>4990000</v>
      </c>
      <c r="J66" s="473"/>
      <c r="K66" s="473"/>
      <c r="L66" s="473"/>
      <c r="M66" s="475">
        <v>24009</v>
      </c>
      <c r="N66" s="250" t="s">
        <v>231</v>
      </c>
      <c r="O66" s="220" t="s">
        <v>111</v>
      </c>
      <c r="P66" s="747" t="s">
        <v>232</v>
      </c>
      <c r="Q66" s="494"/>
      <c r="R66" s="495"/>
      <c r="S66" s="488"/>
      <c r="T66" s="474"/>
      <c r="U66" s="489"/>
      <c r="V66" s="442"/>
    </row>
    <row r="67" spans="1:22" ht="41.25" customHeight="1">
      <c r="A67" s="461">
        <v>18</v>
      </c>
      <c r="B67" s="207" t="s">
        <v>106</v>
      </c>
      <c r="C67" s="463" t="s">
        <v>233</v>
      </c>
      <c r="D67" s="197" t="s">
        <v>78</v>
      </c>
      <c r="E67" s="462"/>
      <c r="F67" s="223" t="s">
        <v>108</v>
      </c>
      <c r="G67" s="220">
        <v>1</v>
      </c>
      <c r="H67" s="472">
        <v>46261</v>
      </c>
      <c r="I67" s="464">
        <v>4990000</v>
      </c>
      <c r="J67" s="473"/>
      <c r="K67" s="473"/>
      <c r="L67" s="473"/>
      <c r="M67" s="475">
        <v>23001</v>
      </c>
      <c r="N67" s="250" t="s">
        <v>234</v>
      </c>
      <c r="O67" s="220" t="s">
        <v>111</v>
      </c>
      <c r="P67" s="748"/>
      <c r="Q67" s="494"/>
      <c r="R67" s="495"/>
      <c r="S67" s="488"/>
      <c r="T67" s="474"/>
      <c r="U67" s="489"/>
      <c r="V67" s="442"/>
    </row>
    <row r="68" spans="1:22" ht="41.25" customHeight="1">
      <c r="A68" s="461">
        <v>18</v>
      </c>
      <c r="B68" s="207" t="s">
        <v>106</v>
      </c>
      <c r="C68" s="463" t="s">
        <v>235</v>
      </c>
      <c r="D68" s="197" t="s">
        <v>78</v>
      </c>
      <c r="E68" s="462"/>
      <c r="F68" s="223" t="s">
        <v>108</v>
      </c>
      <c r="G68" s="220">
        <v>1</v>
      </c>
      <c r="H68" s="472">
        <v>46261</v>
      </c>
      <c r="I68" s="464">
        <v>4990000</v>
      </c>
      <c r="J68" s="473"/>
      <c r="K68" s="473"/>
      <c r="L68" s="473"/>
      <c r="M68" s="475">
        <v>24006</v>
      </c>
      <c r="N68" s="250" t="s">
        <v>236</v>
      </c>
      <c r="O68" s="220" t="s">
        <v>111</v>
      </c>
      <c r="P68" s="748"/>
      <c r="Q68" s="494"/>
      <c r="R68" s="495"/>
      <c r="S68" s="488"/>
      <c r="T68" s="474"/>
      <c r="U68" s="489"/>
      <c r="V68" s="442"/>
    </row>
    <row r="69" spans="1:22" ht="41.25" customHeight="1">
      <c r="A69" s="461">
        <v>18</v>
      </c>
      <c r="B69" s="207" t="s">
        <v>106</v>
      </c>
      <c r="C69" s="463" t="s">
        <v>237</v>
      </c>
      <c r="D69" s="197" t="s">
        <v>78</v>
      </c>
      <c r="E69" s="462"/>
      <c r="F69" s="223" t="s">
        <v>108</v>
      </c>
      <c r="G69" s="220">
        <v>1</v>
      </c>
      <c r="H69" s="472">
        <v>46261</v>
      </c>
      <c r="I69" s="464">
        <v>4990000</v>
      </c>
      <c r="J69" s="473"/>
      <c r="K69" s="473"/>
      <c r="L69" s="473"/>
      <c r="M69" s="475">
        <v>21001</v>
      </c>
      <c r="N69" s="250" t="s">
        <v>238</v>
      </c>
      <c r="O69" s="220" t="s">
        <v>111</v>
      </c>
      <c r="P69" s="748"/>
      <c r="Q69" s="494"/>
      <c r="R69" s="495"/>
      <c r="S69" s="488"/>
      <c r="T69" s="474"/>
      <c r="U69" s="489"/>
      <c r="V69" s="442"/>
    </row>
    <row r="70" spans="1:22" ht="41.25" customHeight="1">
      <c r="A70" s="461">
        <v>18</v>
      </c>
      <c r="B70" s="207" t="s">
        <v>106</v>
      </c>
      <c r="C70" s="463" t="s">
        <v>239</v>
      </c>
      <c r="D70" s="197" t="s">
        <v>78</v>
      </c>
      <c r="E70" s="462"/>
      <c r="F70" s="223" t="s">
        <v>108</v>
      </c>
      <c r="G70" s="220">
        <v>1</v>
      </c>
      <c r="H70" s="472">
        <v>46261</v>
      </c>
      <c r="I70" s="464">
        <v>4990000</v>
      </c>
      <c r="J70" s="473"/>
      <c r="K70" s="473"/>
      <c r="L70" s="473"/>
      <c r="M70" s="475">
        <v>26003</v>
      </c>
      <c r="N70" s="250" t="s">
        <v>240</v>
      </c>
      <c r="O70" s="220" t="s">
        <v>111</v>
      </c>
      <c r="P70" s="749"/>
      <c r="Q70" s="494"/>
      <c r="R70" s="495"/>
      <c r="S70" s="488"/>
      <c r="T70" s="474"/>
      <c r="U70" s="489"/>
      <c r="V70" s="442"/>
    </row>
  </sheetData>
  <mergeCells count="128">
    <mergeCell ref="J62:J64"/>
    <mergeCell ref="K53:K55"/>
    <mergeCell ref="K56:K58"/>
    <mergeCell ref="K59:K61"/>
    <mergeCell ref="K62:K64"/>
    <mergeCell ref="H56:H58"/>
    <mergeCell ref="H59:H61"/>
    <mergeCell ref="H62:H64"/>
    <mergeCell ref="H53:H55"/>
    <mergeCell ref="J53:J55"/>
    <mergeCell ref="J56:J58"/>
    <mergeCell ref="J59:J61"/>
    <mergeCell ref="A41:A44"/>
    <mergeCell ref="A45:A48"/>
    <mergeCell ref="A49:A52"/>
    <mergeCell ref="A53:A56"/>
    <mergeCell ref="A57:A60"/>
    <mergeCell ref="A61:A64"/>
    <mergeCell ref="H41:H43"/>
    <mergeCell ref="H44:H46"/>
    <mergeCell ref="H47:H49"/>
    <mergeCell ref="H50:H52"/>
    <mergeCell ref="H37:H40"/>
    <mergeCell ref="A26:V26"/>
    <mergeCell ref="S16:S25"/>
    <mergeCell ref="I16:I20"/>
    <mergeCell ref="A37:A40"/>
    <mergeCell ref="B37:B40"/>
    <mergeCell ref="R15:R17"/>
    <mergeCell ref="T37:T40"/>
    <mergeCell ref="R37:R40"/>
    <mergeCell ref="S37:S40"/>
    <mergeCell ref="Q37:Q40"/>
    <mergeCell ref="M37:M40"/>
    <mergeCell ref="I21:I25"/>
    <mergeCell ref="T16:T25"/>
    <mergeCell ref="K37:K40"/>
    <mergeCell ref="J37:J40"/>
    <mergeCell ref="L37:L40"/>
    <mergeCell ref="N37:N40"/>
    <mergeCell ref="O37:O40"/>
    <mergeCell ref="P37:P40"/>
    <mergeCell ref="U37:U40"/>
    <mergeCell ref="C1:V1"/>
    <mergeCell ref="I9:I12"/>
    <mergeCell ref="I13:I14"/>
    <mergeCell ref="I6:I8"/>
    <mergeCell ref="S6:S8"/>
    <mergeCell ref="S9:S12"/>
    <mergeCell ref="S13:S14"/>
    <mergeCell ref="A4:V4"/>
    <mergeCell ref="D2:H2"/>
    <mergeCell ref="T6:T8"/>
    <mergeCell ref="T9:T12"/>
    <mergeCell ref="T13:T14"/>
    <mergeCell ref="J41:J43"/>
    <mergeCell ref="K41:K43"/>
    <mergeCell ref="J44:J46"/>
    <mergeCell ref="J47:J49"/>
    <mergeCell ref="J50:J52"/>
    <mergeCell ref="K44:K46"/>
    <mergeCell ref="P50:P52"/>
    <mergeCell ref="O41:O43"/>
    <mergeCell ref="O44:O46"/>
    <mergeCell ref="O47:O49"/>
    <mergeCell ref="O50:O52"/>
    <mergeCell ref="R41:R43"/>
    <mergeCell ref="R44:R46"/>
    <mergeCell ref="R47:R49"/>
    <mergeCell ref="R50:R52"/>
    <mergeCell ref="Q41:Q43"/>
    <mergeCell ref="Q44:Q46"/>
    <mergeCell ref="Q47:Q49"/>
    <mergeCell ref="Q50:Q52"/>
    <mergeCell ref="K50:K52"/>
    <mergeCell ref="L41:L43"/>
    <mergeCell ref="L44:L46"/>
    <mergeCell ref="L47:L49"/>
    <mergeCell ref="K47:K49"/>
    <mergeCell ref="L50:L52"/>
    <mergeCell ref="P41:P43"/>
    <mergeCell ref="P44:P46"/>
    <mergeCell ref="P47:P49"/>
    <mergeCell ref="L53:L55"/>
    <mergeCell ref="Q53:Q55"/>
    <mergeCell ref="Q56:Q58"/>
    <mergeCell ref="Q59:Q61"/>
    <mergeCell ref="Q62:Q64"/>
    <mergeCell ref="L56:L58"/>
    <mergeCell ref="L59:L61"/>
    <mergeCell ref="L62:L64"/>
    <mergeCell ref="P62:P64"/>
    <mergeCell ref="T56:T58"/>
    <mergeCell ref="R62:R64"/>
    <mergeCell ref="O53:O55"/>
    <mergeCell ref="O56:O58"/>
    <mergeCell ref="O59:O61"/>
    <mergeCell ref="O62:O64"/>
    <mergeCell ref="P53:P55"/>
    <mergeCell ref="P56:P58"/>
    <mergeCell ref="P59:P61"/>
    <mergeCell ref="R53:R55"/>
    <mergeCell ref="R59:R61"/>
    <mergeCell ref="R56:R58"/>
    <mergeCell ref="P66:P70"/>
    <mergeCell ref="U53:U55"/>
    <mergeCell ref="U56:U58"/>
    <mergeCell ref="U59:U61"/>
    <mergeCell ref="U62:U64"/>
    <mergeCell ref="T59:T61"/>
    <mergeCell ref="T62:T64"/>
    <mergeCell ref="U41:U43"/>
    <mergeCell ref="U44:U46"/>
    <mergeCell ref="U47:U49"/>
    <mergeCell ref="U50:U52"/>
    <mergeCell ref="S41:S43"/>
    <mergeCell ref="S44:S46"/>
    <mergeCell ref="S47:S49"/>
    <mergeCell ref="S50:S52"/>
    <mergeCell ref="S53:S55"/>
    <mergeCell ref="S56:S58"/>
    <mergeCell ref="S59:S61"/>
    <mergeCell ref="S62:S64"/>
    <mergeCell ref="T41:T43"/>
    <mergeCell ref="T44:T46"/>
    <mergeCell ref="T47:T49"/>
    <mergeCell ref="T50:T52"/>
    <mergeCell ref="T53:T55"/>
  </mergeCells>
  <conditionalFormatting sqref="B1">
    <cfRule type="duplicateValues" dxfId="35" priority="1"/>
    <cfRule type="duplicateValues" dxfId="34" priority="2"/>
  </conditionalFormatting>
  <conditionalFormatting sqref="C1">
    <cfRule type="duplicateValues" dxfId="33" priority="3"/>
  </conditionalFormatting>
  <dataValidations count="2">
    <dataValidation type="list" allowBlank="1" showInputMessage="1" showErrorMessage="1" sqref="C5:C8 C13:C14 C32:C34" xr:uid="{D5FB4365-F5A1-4FD2-986F-AD51A48AAF3C}">
      <formula1>#REF!</formula1>
    </dataValidation>
    <dataValidation allowBlank="1" showInputMessage="1" showErrorMessage="1" sqref="C37:C70" xr:uid="{65F7C3FB-A7C6-4292-87DC-28B1389808B9}"/>
  </dataValidations>
  <hyperlinks>
    <hyperlink ref="S13:S14" r:id="rId1" display="Phiếu BH" xr:uid="{D5C8C65C-E68D-451A-AEE4-7CCE7D543F58}"/>
    <hyperlink ref="S9:S12" r:id="rId2" display="Phiếu BH" xr:uid="{AA6FD768-08FD-4DD2-8FFE-186FA4686C91}"/>
    <hyperlink ref="S6:S8" r:id="rId3" display="Phiếu BH" xr:uid="{0B869D6A-C812-4474-87A8-E74D159DADA1}"/>
    <hyperlink ref="V15" r:id="rId4" xr:uid="{CF266A3D-5172-498A-BA8E-620C070254CF}"/>
    <hyperlink ref="S16:S25" r:id="rId5" display="Phiếu BH" xr:uid="{3E9E0376-398E-4C4B-9B2C-7EBB67077031}"/>
    <hyperlink ref="S15" r:id="rId6" xr:uid="{DB4E1A1F-D5B8-4DA5-BE35-F5A8BD676939}"/>
    <hyperlink ref="S35" r:id="rId7" xr:uid="{82ADDAD8-2B17-42AA-8815-86C1763D72DC}"/>
    <hyperlink ref="S41:S43" r:id="rId8" display="1568389_Phiếu bảo hành 8 Case PC" xr:uid="{B02CBF2E-9440-4A6E-B54C-ABE593F97156}"/>
    <hyperlink ref="S44:S46" r:id="rId9" display="1568389_Phiếu bảo hành 8 Case PC" xr:uid="{2D77F2E5-2B5C-4917-A355-7533E67CDCCA}"/>
    <hyperlink ref="S47:S49" r:id="rId10" display="1568389_Phiếu bảo hành 8 Case PC" xr:uid="{62C58700-0557-4CCB-AF19-25D8AA54B156}"/>
    <hyperlink ref="S53:S55" r:id="rId11" display="1568389_Phiếu bảo hành 8 Case PC" xr:uid="{4181E184-D785-48F9-9F55-17B1DA44D90C}"/>
    <hyperlink ref="S59:S61" r:id="rId12" display="1568389_Phiếu bảo hành 8 Case PC" xr:uid="{C08D0378-AFFD-4EB5-85A4-63E51979B4E5}"/>
    <hyperlink ref="S50:S52" r:id="rId13" display="1568389_Phiếu bảo hành 8 Case PC" xr:uid="{3EFB097D-1946-40E5-9660-F889D3E39A8C}"/>
    <hyperlink ref="S56:S58" r:id="rId14" display="1568389_Phiếu bảo hành 8 Case PC" xr:uid="{52568D3F-CA32-434C-8238-1152DF90C151}"/>
    <hyperlink ref="S62:S64" r:id="rId15" display="1568389_Phiếu bảo hành 8 Case PC" xr:uid="{B0CC7FAD-91A0-4A22-8855-48DB4B671ECA}"/>
    <hyperlink ref="S37:S40" r:id="rId16" display="1530844_Phiếu xuất kho, bảo hành PC - Duy Hưng P.Thiết kế" xr:uid="{928A94DC-4EBE-49CD-8AAE-A97CA7F34F71}"/>
    <hyperlink ref="S65" r:id="rId17" xr:uid="{EBEB637F-3324-4312-8268-539FC8D76758}"/>
  </hyperlinks>
  <pageMargins left="0.7" right="0.7" top="0.75" bottom="0.75" header="0.3" footer="0.3"/>
  <drawing r:id="rId18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9F93C3-15F5-412B-BE37-92E841B2D624}">
          <x14:formula1>
            <xm:f>'Code Data'!$J$3:$J$6</xm:f>
          </x14:formula1>
          <xm:sqref>B1 B3 B27:B37 B5:B25 B41:B1048576</xm:sqref>
        </x14:dataValidation>
        <x14:dataValidation type="list" allowBlank="1" showInputMessage="1" showErrorMessage="1" xr:uid="{3F3CCE77-609F-4FC0-BC18-B73731096535}">
          <x14:formula1>
            <xm:f>'Code Data'!$F$3:$F$19</xm:f>
          </x14:formula1>
          <xm:sqref>D11:D12 D9 D16:D25</xm:sqref>
        </x14:dataValidation>
        <x14:dataValidation type="list" allowBlank="1" showInputMessage="1" showErrorMessage="1" xr:uid="{9BD2FB1F-85F5-4F76-85BC-C12773B7509F}">
          <x14:formula1>
            <xm:f>'Code Data'!$N$2:$N$7</xm:f>
          </x14:formula1>
          <xm:sqref>O1:O3 O27:O37 O5:O25 O41 O62 O44 O47 O50 O53 O56 O59 O65:O1048576</xm:sqref>
        </x14:dataValidation>
        <x14:dataValidation type="list" allowBlank="1" showInputMessage="1" showErrorMessage="1" xr:uid="{58996601-F4DB-4D48-BE69-B0AF1B1B96C9}">
          <x14:formula1>
            <xm:f>'Code Data'!$Q$1:$Q$20</xm:f>
          </x14:formula1>
          <xm:sqref>L1:L3 L27:L37 L5:L25 L41 L62 L44 L47 L50 L53 L56 L59 L65:L1048576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BA25-6DA3-451F-8694-32CE848DD164}">
  <dimension ref="A1:K69"/>
  <sheetViews>
    <sheetView showGridLines="0" topLeftCell="A11" workbookViewId="0">
      <selection activeCell="K18" sqref="K18"/>
    </sheetView>
  </sheetViews>
  <sheetFormatPr defaultColWidth="9.28515625" defaultRowHeight="14.25" customHeight="1"/>
  <cols>
    <col min="1" max="1" width="9.28515625" style="1"/>
    <col min="2" max="2" width="21.85546875" style="1" customWidth="1"/>
    <col min="3" max="3" width="21.140625" style="1" customWidth="1"/>
    <col min="4" max="4" width="25" style="1" customWidth="1"/>
    <col min="5" max="5" width="22.5703125" style="1" customWidth="1"/>
    <col min="6" max="6" width="33.140625" style="1" customWidth="1"/>
    <col min="7" max="7" width="15" style="1" customWidth="1"/>
    <col min="8" max="8" width="20.42578125" style="1" customWidth="1"/>
    <col min="9" max="9" width="19.7109375" style="1" customWidth="1"/>
    <col min="10" max="10" width="21.85546875" style="1" customWidth="1"/>
    <col min="11" max="11" width="74.28515625" style="1" customWidth="1"/>
    <col min="12" max="16384" width="9.28515625" style="1"/>
  </cols>
  <sheetData>
    <row r="1" spans="1:11" ht="72" customHeight="1">
      <c r="A1" s="122"/>
      <c r="B1" s="123"/>
      <c r="C1" s="728" t="s">
        <v>241</v>
      </c>
      <c r="D1" s="728"/>
      <c r="E1" s="728"/>
      <c r="F1" s="728"/>
      <c r="G1" s="728"/>
      <c r="H1" s="728"/>
      <c r="I1" s="728"/>
      <c r="J1" s="728"/>
      <c r="K1" s="728"/>
    </row>
    <row r="2" spans="1:11" ht="53.25" customHeight="1">
      <c r="A2" s="822" t="s">
        <v>242</v>
      </c>
      <c r="B2" s="822"/>
      <c r="C2" s="822"/>
      <c r="D2" s="822"/>
      <c r="E2" s="822"/>
      <c r="F2" s="822"/>
      <c r="G2" s="822"/>
    </row>
    <row r="3" spans="1:11" s="136" customFormat="1" ht="58.5" customHeight="1">
      <c r="A3" s="145" t="s">
        <v>85</v>
      </c>
      <c r="B3" s="145" t="s">
        <v>66</v>
      </c>
      <c r="C3" s="145" t="s">
        <v>86</v>
      </c>
      <c r="D3" s="145" t="s">
        <v>16</v>
      </c>
      <c r="E3" s="145" t="s">
        <v>243</v>
      </c>
      <c r="F3" s="145" t="s">
        <v>244</v>
      </c>
      <c r="G3" s="145" t="s">
        <v>245</v>
      </c>
      <c r="H3" s="145" t="s">
        <v>246</v>
      </c>
      <c r="I3" s="145" t="s">
        <v>247</v>
      </c>
      <c r="J3" s="135" t="s">
        <v>103</v>
      </c>
      <c r="K3" s="135" t="s">
        <v>104</v>
      </c>
    </row>
    <row r="4" spans="1:11" s="127" customFormat="1" ht="27" customHeight="1">
      <c r="A4" s="128">
        <v>1</v>
      </c>
      <c r="B4" s="132" t="s">
        <v>106</v>
      </c>
      <c r="C4" s="233" t="s">
        <v>248</v>
      </c>
      <c r="D4" s="144" t="s">
        <v>249</v>
      </c>
      <c r="E4" s="144" t="s">
        <v>250</v>
      </c>
      <c r="F4" s="130" t="s">
        <v>251</v>
      </c>
      <c r="G4" s="131">
        <v>46127</v>
      </c>
      <c r="H4" s="232">
        <v>30</v>
      </c>
      <c r="I4" s="232">
        <v>30</v>
      </c>
      <c r="J4" s="126" t="s">
        <v>115</v>
      </c>
      <c r="K4" s="130"/>
    </row>
    <row r="5" spans="1:11" s="127" customFormat="1" ht="27" customHeight="1">
      <c r="A5" s="128">
        <v>2</v>
      </c>
      <c r="B5" s="132" t="s">
        <v>106</v>
      </c>
      <c r="C5" s="233" t="s">
        <v>252</v>
      </c>
      <c r="D5" s="144" t="s">
        <v>249</v>
      </c>
      <c r="E5" s="144" t="s">
        <v>250</v>
      </c>
      <c r="F5" s="130" t="s">
        <v>251</v>
      </c>
      <c r="G5" s="131">
        <v>46127</v>
      </c>
      <c r="H5" s="232">
        <v>30</v>
      </c>
      <c r="I5" s="232">
        <v>30</v>
      </c>
      <c r="J5" s="126" t="s">
        <v>115</v>
      </c>
      <c r="K5" s="130"/>
    </row>
    <row r="6" spans="1:11" s="127" customFormat="1" ht="27" customHeight="1">
      <c r="A6" s="124">
        <v>3</v>
      </c>
      <c r="B6" s="141" t="s">
        <v>106</v>
      </c>
      <c r="C6" s="234" t="s">
        <v>253</v>
      </c>
      <c r="D6" s="134" t="s">
        <v>77</v>
      </c>
      <c r="E6" s="144" t="s">
        <v>250</v>
      </c>
      <c r="F6" s="143" t="s">
        <v>254</v>
      </c>
      <c r="G6" s="131">
        <v>46127</v>
      </c>
      <c r="H6" s="131" t="s">
        <v>255</v>
      </c>
      <c r="I6" s="131" t="s">
        <v>255</v>
      </c>
      <c r="J6" s="126" t="s">
        <v>115</v>
      </c>
      <c r="K6" s="130"/>
    </row>
    <row r="7" spans="1:11" s="127" customFormat="1" ht="27" customHeight="1">
      <c r="A7" s="128">
        <v>4</v>
      </c>
      <c r="B7" s="141" t="s">
        <v>106</v>
      </c>
      <c r="C7" s="133" t="s">
        <v>256</v>
      </c>
      <c r="D7" s="134" t="s">
        <v>77</v>
      </c>
      <c r="E7" s="144" t="s">
        <v>250</v>
      </c>
      <c r="F7" s="143" t="s">
        <v>254</v>
      </c>
      <c r="G7" s="131">
        <v>46127</v>
      </c>
      <c r="H7" s="131" t="s">
        <v>255</v>
      </c>
      <c r="I7" s="131" t="s">
        <v>255</v>
      </c>
      <c r="J7" s="126" t="s">
        <v>115</v>
      </c>
      <c r="K7" s="130"/>
    </row>
    <row r="8" spans="1:11" s="127" customFormat="1" ht="27" customHeight="1">
      <c r="A8" s="128">
        <v>5</v>
      </c>
      <c r="B8" s="141" t="s">
        <v>106</v>
      </c>
      <c r="C8" s="133" t="s">
        <v>257</v>
      </c>
      <c r="D8" s="134" t="s">
        <v>77</v>
      </c>
      <c r="E8" s="144" t="s">
        <v>250</v>
      </c>
      <c r="F8" s="143" t="s">
        <v>254</v>
      </c>
      <c r="G8" s="131">
        <v>46127</v>
      </c>
      <c r="H8" s="131" t="s">
        <v>255</v>
      </c>
      <c r="I8" s="131" t="s">
        <v>255</v>
      </c>
      <c r="J8" s="126" t="s">
        <v>115</v>
      </c>
      <c r="K8" s="130"/>
    </row>
    <row r="9" spans="1:11" s="127" customFormat="1" ht="27" customHeight="1">
      <c r="A9" s="128">
        <v>6</v>
      </c>
      <c r="B9" s="141" t="s">
        <v>106</v>
      </c>
      <c r="C9" s="133" t="s">
        <v>258</v>
      </c>
      <c r="D9" s="134" t="s">
        <v>77</v>
      </c>
      <c r="E9" s="144" t="s">
        <v>250</v>
      </c>
      <c r="F9" s="143" t="s">
        <v>254</v>
      </c>
      <c r="G9" s="131">
        <v>46127</v>
      </c>
      <c r="H9" s="131" t="s">
        <v>255</v>
      </c>
      <c r="I9" s="131" t="s">
        <v>255</v>
      </c>
      <c r="J9" s="126" t="s">
        <v>115</v>
      </c>
      <c r="K9" s="130"/>
    </row>
    <row r="10" spans="1:11" s="127" customFormat="1" ht="27" customHeight="1">
      <c r="A10" s="124">
        <v>7</v>
      </c>
      <c r="B10" s="238" t="s">
        <v>106</v>
      </c>
      <c r="C10" s="239" t="s">
        <v>259</v>
      </c>
      <c r="D10" s="240" t="s">
        <v>77</v>
      </c>
      <c r="E10" s="241" t="s">
        <v>250</v>
      </c>
      <c r="F10" s="143" t="s">
        <v>254</v>
      </c>
      <c r="G10" s="131">
        <v>46212</v>
      </c>
      <c r="H10" s="425">
        <v>1000000</v>
      </c>
      <c r="I10" s="425">
        <v>1000000</v>
      </c>
      <c r="J10" s="130" t="s">
        <v>182</v>
      </c>
      <c r="K10" s="126"/>
    </row>
    <row r="11" spans="1:11" s="127" customFormat="1" ht="27" customHeight="1">
      <c r="A11" s="128">
        <v>8</v>
      </c>
      <c r="B11" s="238" t="s">
        <v>106</v>
      </c>
      <c r="C11" s="242" t="s">
        <v>260</v>
      </c>
      <c r="D11" s="240" t="s">
        <v>77</v>
      </c>
      <c r="E11" s="241" t="s">
        <v>250</v>
      </c>
      <c r="F11" s="143" t="s">
        <v>254</v>
      </c>
      <c r="G11" s="131">
        <v>46212</v>
      </c>
      <c r="H11" s="425">
        <v>1500000</v>
      </c>
      <c r="I11" s="425">
        <v>1500000</v>
      </c>
      <c r="J11" s="130" t="s">
        <v>182</v>
      </c>
      <c r="K11" s="130"/>
    </row>
    <row r="12" spans="1:11" s="127" customFormat="1" ht="27" customHeight="1">
      <c r="A12" s="128">
        <v>9</v>
      </c>
      <c r="B12" s="243" t="s">
        <v>106</v>
      </c>
      <c r="C12" s="242" t="s">
        <v>261</v>
      </c>
      <c r="D12" s="244" t="s">
        <v>77</v>
      </c>
      <c r="E12" s="241" t="s">
        <v>250</v>
      </c>
      <c r="F12" s="143" t="s">
        <v>254</v>
      </c>
      <c r="G12" s="131">
        <v>46212</v>
      </c>
      <c r="H12" s="425">
        <v>1500000</v>
      </c>
      <c r="I12" s="425">
        <v>1500000</v>
      </c>
      <c r="J12" s="130" t="s">
        <v>182</v>
      </c>
      <c r="K12" s="130"/>
    </row>
    <row r="13" spans="1:11" s="127" customFormat="1" ht="27" customHeight="1">
      <c r="A13" s="128">
        <v>10</v>
      </c>
      <c r="B13" s="243" t="s">
        <v>106</v>
      </c>
      <c r="C13" s="242" t="s">
        <v>262</v>
      </c>
      <c r="D13" s="244" t="s">
        <v>77</v>
      </c>
      <c r="E13" s="241" t="s">
        <v>250</v>
      </c>
      <c r="F13" s="143" t="s">
        <v>254</v>
      </c>
      <c r="G13" s="131">
        <v>46212</v>
      </c>
      <c r="H13" s="425">
        <v>1500000</v>
      </c>
      <c r="I13" s="425">
        <v>1500000</v>
      </c>
      <c r="J13" s="130" t="s">
        <v>182</v>
      </c>
      <c r="K13" s="130"/>
    </row>
    <row r="14" spans="1:11" s="127" customFormat="1" ht="27" customHeight="1">
      <c r="A14" s="124">
        <v>11</v>
      </c>
      <c r="B14" s="243" t="s">
        <v>106</v>
      </c>
      <c r="C14" s="245" t="s">
        <v>263</v>
      </c>
      <c r="D14" s="244" t="s">
        <v>77</v>
      </c>
      <c r="E14" s="241" t="s">
        <v>250</v>
      </c>
      <c r="F14" s="143" t="s">
        <v>254</v>
      </c>
      <c r="G14" s="131">
        <v>46212</v>
      </c>
      <c r="H14" s="425">
        <v>1500000</v>
      </c>
      <c r="I14" s="425">
        <v>1500000</v>
      </c>
      <c r="J14" s="130" t="s">
        <v>182</v>
      </c>
      <c r="K14" s="130"/>
    </row>
    <row r="15" spans="1:11" s="127" customFormat="1" ht="27" customHeight="1">
      <c r="A15" s="128">
        <v>12</v>
      </c>
      <c r="B15" s="243" t="s">
        <v>106</v>
      </c>
      <c r="C15" s="246" t="s">
        <v>264</v>
      </c>
      <c r="D15" s="244" t="s">
        <v>77</v>
      </c>
      <c r="E15" s="241" t="s">
        <v>250</v>
      </c>
      <c r="F15" s="143" t="s">
        <v>254</v>
      </c>
      <c r="G15" s="131">
        <v>46212</v>
      </c>
      <c r="H15" s="425">
        <v>1500000</v>
      </c>
      <c r="I15" s="425">
        <v>1500000</v>
      </c>
      <c r="J15" s="130" t="s">
        <v>182</v>
      </c>
      <c r="K15" s="130"/>
    </row>
    <row r="16" spans="1:11" s="127" customFormat="1" ht="27" customHeight="1">
      <c r="A16" s="128">
        <v>13</v>
      </c>
      <c r="B16" s="243" t="s">
        <v>106</v>
      </c>
      <c r="C16" s="247" t="s">
        <v>265</v>
      </c>
      <c r="D16" s="244" t="s">
        <v>77</v>
      </c>
      <c r="E16" s="241" t="s">
        <v>250</v>
      </c>
      <c r="F16" s="143" t="s">
        <v>254</v>
      </c>
      <c r="G16" s="131">
        <v>46212</v>
      </c>
      <c r="H16" s="425">
        <v>1500000</v>
      </c>
      <c r="I16" s="425">
        <v>1500000</v>
      </c>
      <c r="J16" s="130" t="s">
        <v>182</v>
      </c>
      <c r="K16" s="130"/>
    </row>
    <row r="17" spans="1:11" s="127" customFormat="1" ht="27" customHeight="1">
      <c r="A17" s="128">
        <v>13</v>
      </c>
      <c r="B17" s="243" t="s">
        <v>106</v>
      </c>
      <c r="C17" s="161" t="s">
        <v>266</v>
      </c>
      <c r="D17" s="161" t="s">
        <v>81</v>
      </c>
      <c r="E17" s="241" t="s">
        <v>267</v>
      </c>
      <c r="F17" s="143" t="s">
        <v>268</v>
      </c>
      <c r="G17" s="131">
        <v>46296</v>
      </c>
      <c r="H17" s="425"/>
      <c r="I17" s="425"/>
      <c r="J17" s="130"/>
      <c r="K17" s="130" t="s">
        <v>269</v>
      </c>
    </row>
    <row r="18" spans="1:11" s="127" customFormat="1" ht="27" customHeight="1">
      <c r="A18" s="124">
        <v>15</v>
      </c>
      <c r="B18" s="142"/>
      <c r="C18" s="129"/>
      <c r="D18" s="130"/>
      <c r="E18" s="130"/>
      <c r="F18" s="143"/>
      <c r="G18" s="130"/>
      <c r="H18" s="130"/>
      <c r="I18" s="130"/>
      <c r="J18" s="130"/>
      <c r="K18" s="130"/>
    </row>
    <row r="19" spans="1:11" s="127" customFormat="1" ht="27" customHeight="1">
      <c r="A19" s="124">
        <v>16</v>
      </c>
      <c r="B19" s="142"/>
      <c r="C19" s="129"/>
      <c r="D19" s="130"/>
      <c r="E19" s="130"/>
      <c r="F19" s="143"/>
      <c r="G19" s="130"/>
      <c r="H19" s="130"/>
      <c r="I19" s="130"/>
      <c r="J19" s="130"/>
      <c r="K19" s="130"/>
    </row>
    <row r="20" spans="1:11" s="127" customFormat="1" ht="27" customHeight="1">
      <c r="A20" s="128">
        <v>17</v>
      </c>
      <c r="B20" s="142"/>
      <c r="C20" s="129"/>
      <c r="D20" s="130"/>
      <c r="E20" s="130"/>
      <c r="F20" s="143"/>
      <c r="G20" s="130"/>
      <c r="H20" s="130"/>
      <c r="I20" s="130"/>
      <c r="J20" s="130"/>
      <c r="K20" s="130"/>
    </row>
    <row r="21" spans="1:11" s="127" customFormat="1" ht="27" customHeight="1">
      <c r="A21" s="128">
        <v>18</v>
      </c>
      <c r="B21" s="142"/>
      <c r="C21" s="129"/>
      <c r="D21" s="130"/>
      <c r="E21" s="130"/>
      <c r="F21" s="143"/>
      <c r="G21" s="130"/>
      <c r="H21" s="130"/>
      <c r="I21" s="130"/>
      <c r="J21" s="130"/>
      <c r="K21" s="130"/>
    </row>
    <row r="22" spans="1:11" s="127" customFormat="1" ht="27" customHeight="1">
      <c r="A22" s="124">
        <v>19</v>
      </c>
      <c r="B22" s="142"/>
      <c r="C22" s="129"/>
      <c r="D22" s="130"/>
      <c r="E22" s="130"/>
      <c r="F22" s="143"/>
      <c r="G22" s="130"/>
      <c r="H22" s="130"/>
      <c r="I22" s="130"/>
      <c r="J22" s="130"/>
      <c r="K22" s="130"/>
    </row>
    <row r="23" spans="1:11" s="127" customFormat="1" ht="27" customHeight="1">
      <c r="A23" s="128">
        <v>20</v>
      </c>
      <c r="B23" s="142"/>
      <c r="C23" s="129"/>
      <c r="D23" s="130"/>
      <c r="E23" s="130"/>
      <c r="F23" s="143"/>
      <c r="G23" s="130"/>
      <c r="H23" s="130"/>
      <c r="I23" s="130"/>
      <c r="J23" s="130"/>
      <c r="K23" s="130"/>
    </row>
    <row r="24" spans="1:11" s="127" customFormat="1" ht="27" customHeight="1">
      <c r="A24" s="128">
        <v>21</v>
      </c>
      <c r="B24" s="129"/>
      <c r="C24" s="125"/>
      <c r="D24" s="126"/>
      <c r="E24" s="126"/>
      <c r="F24" s="130"/>
      <c r="G24" s="130"/>
      <c r="H24" s="130"/>
      <c r="I24" s="130"/>
      <c r="J24" s="130"/>
      <c r="K24" s="130"/>
    </row>
    <row r="25" spans="1:11" s="127" customFormat="1" ht="27" customHeight="1">
      <c r="A25" s="124">
        <v>22</v>
      </c>
      <c r="B25" s="129"/>
      <c r="C25" s="129"/>
      <c r="D25" s="130"/>
      <c r="E25" s="130"/>
      <c r="F25" s="130"/>
      <c r="G25" s="130"/>
      <c r="H25" s="130"/>
      <c r="I25" s="130"/>
      <c r="J25" s="130"/>
      <c r="K25" s="130"/>
    </row>
    <row r="26" spans="1:11" s="127" customFormat="1" ht="27" customHeight="1">
      <c r="A26" s="130"/>
      <c r="B26" s="129"/>
      <c r="C26" s="129"/>
      <c r="D26" s="130"/>
      <c r="E26" s="130"/>
      <c r="F26" s="130"/>
      <c r="G26" s="130"/>
      <c r="H26" s="130"/>
      <c r="I26" s="130"/>
      <c r="J26" s="130"/>
      <c r="K26" s="130"/>
    </row>
    <row r="27" spans="1:11" s="127" customFormat="1" ht="27" customHeight="1">
      <c r="A27" s="130"/>
      <c r="B27" s="129"/>
      <c r="C27" s="129"/>
      <c r="D27" s="130"/>
      <c r="E27" s="130"/>
      <c r="F27" s="130"/>
      <c r="G27" s="130"/>
      <c r="H27" s="130"/>
      <c r="I27" s="130"/>
      <c r="J27" s="130"/>
      <c r="K27" s="130"/>
    </row>
    <row r="28" spans="1:11" s="127" customFormat="1" ht="27" customHeight="1">
      <c r="A28" s="130"/>
      <c r="B28" s="129"/>
      <c r="C28" s="129"/>
      <c r="D28" s="130"/>
      <c r="E28" s="130"/>
      <c r="F28" s="130"/>
      <c r="G28" s="130"/>
      <c r="H28" s="130"/>
      <c r="I28" s="130"/>
      <c r="J28" s="130"/>
      <c r="K28" s="130"/>
    </row>
    <row r="29" spans="1:11" s="127" customFormat="1" ht="27" customHeight="1">
      <c r="A29" s="130"/>
      <c r="B29" s="129"/>
      <c r="C29" s="129"/>
      <c r="D29" s="130"/>
      <c r="E29" s="130"/>
      <c r="F29" s="130"/>
      <c r="G29" s="130"/>
      <c r="H29" s="130"/>
      <c r="I29" s="130"/>
      <c r="J29" s="130"/>
      <c r="K29" s="130"/>
    </row>
    <row r="30" spans="1:11" s="127" customFormat="1" ht="27" customHeight="1">
      <c r="A30" s="130"/>
      <c r="B30" s="129"/>
      <c r="C30" s="129"/>
      <c r="D30" s="130"/>
      <c r="E30" s="130"/>
      <c r="F30" s="130"/>
      <c r="G30" s="130"/>
      <c r="H30" s="130"/>
      <c r="I30" s="130"/>
      <c r="J30" s="130"/>
      <c r="K30" s="130"/>
    </row>
    <row r="31" spans="1:11" s="127" customFormat="1" ht="27" customHeight="1">
      <c r="A31" s="130"/>
      <c r="B31" s="129"/>
      <c r="C31" s="129"/>
      <c r="D31" s="130"/>
      <c r="E31" s="130"/>
      <c r="F31" s="130"/>
      <c r="G31" s="130"/>
      <c r="H31" s="130"/>
      <c r="I31" s="130"/>
      <c r="J31" s="130"/>
      <c r="K31" s="130"/>
    </row>
    <row r="32" spans="1:11" s="127" customFormat="1" ht="27" customHeight="1">
      <c r="A32" s="130"/>
      <c r="B32" s="129"/>
      <c r="C32" s="129"/>
      <c r="D32" s="130"/>
      <c r="E32" s="130"/>
      <c r="F32" s="130"/>
      <c r="G32" s="130"/>
      <c r="H32" s="130"/>
      <c r="I32" s="130"/>
      <c r="J32" s="130"/>
      <c r="K32" s="130"/>
    </row>
    <row r="33" spans="1:11" s="127" customFormat="1" ht="27" customHeight="1">
      <c r="A33" s="130"/>
      <c r="B33" s="129"/>
      <c r="C33" s="129"/>
      <c r="D33" s="130"/>
      <c r="E33" s="130"/>
      <c r="F33" s="130"/>
      <c r="G33" s="130"/>
      <c r="H33" s="130"/>
      <c r="I33" s="130"/>
      <c r="J33" s="130"/>
      <c r="K33" s="130"/>
    </row>
    <row r="34" spans="1:11" s="127" customFormat="1" ht="27" customHeight="1">
      <c r="A34" s="130"/>
      <c r="B34" s="129"/>
      <c r="C34" s="129"/>
      <c r="D34" s="130"/>
      <c r="E34" s="130"/>
      <c r="F34" s="130"/>
      <c r="G34" s="130"/>
      <c r="H34" s="130"/>
      <c r="I34" s="130"/>
      <c r="J34" s="130"/>
      <c r="K34" s="130"/>
    </row>
    <row r="35" spans="1:11" s="127" customFormat="1" ht="27" customHeight="1">
      <c r="A35" s="130"/>
      <c r="B35" s="129"/>
      <c r="C35" s="129"/>
      <c r="D35" s="130"/>
      <c r="E35" s="130"/>
      <c r="F35" s="130"/>
      <c r="G35" s="130"/>
      <c r="H35" s="130"/>
      <c r="I35" s="130"/>
      <c r="J35" s="130"/>
      <c r="K35" s="130"/>
    </row>
    <row r="36" spans="1:11" s="127" customFormat="1" ht="27" customHeight="1">
      <c r="A36" s="130"/>
      <c r="B36" s="129"/>
      <c r="C36" s="129"/>
      <c r="D36" s="130"/>
      <c r="E36" s="130"/>
      <c r="F36" s="130"/>
      <c r="G36" s="130"/>
      <c r="H36" s="130"/>
      <c r="I36" s="130"/>
      <c r="J36" s="130"/>
      <c r="K36" s="130"/>
    </row>
    <row r="37" spans="1:11" s="127" customFormat="1" ht="27" customHeight="1">
      <c r="A37" s="130"/>
      <c r="B37" s="129"/>
      <c r="C37" s="129"/>
      <c r="D37" s="130"/>
      <c r="E37" s="130"/>
      <c r="F37" s="130"/>
      <c r="G37" s="130"/>
      <c r="H37" s="130"/>
      <c r="I37" s="130"/>
      <c r="J37" s="130"/>
      <c r="K37" s="130"/>
    </row>
    <row r="38" spans="1:11" s="127" customFormat="1" ht="27" customHeight="1">
      <c r="A38" s="130"/>
      <c r="B38" s="129"/>
      <c r="C38" s="129"/>
      <c r="D38" s="130"/>
      <c r="E38" s="130"/>
      <c r="F38" s="130"/>
      <c r="G38" s="130"/>
      <c r="H38" s="130"/>
      <c r="I38" s="130"/>
      <c r="J38" s="130"/>
      <c r="K38" s="130"/>
    </row>
    <row r="39" spans="1:11" s="127" customFormat="1" ht="27" customHeight="1">
      <c r="A39" s="130"/>
      <c r="B39" s="129"/>
      <c r="C39" s="129"/>
      <c r="D39" s="130"/>
      <c r="E39" s="130"/>
      <c r="F39" s="130"/>
      <c r="G39" s="130"/>
      <c r="H39" s="130"/>
      <c r="I39" s="130"/>
      <c r="J39" s="130"/>
      <c r="K39" s="130"/>
    </row>
    <row r="40" spans="1:11" s="127" customFormat="1" ht="27" customHeight="1">
      <c r="A40" s="130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spans="1:11" s="127" customFormat="1" ht="27" customHeight="1">
      <c r="A41" s="130"/>
      <c r="B41" s="129"/>
      <c r="C41" s="129"/>
      <c r="D41" s="130"/>
      <c r="E41" s="130"/>
      <c r="F41" s="130"/>
      <c r="G41" s="130"/>
      <c r="H41" s="130"/>
      <c r="I41" s="130"/>
      <c r="J41" s="130"/>
      <c r="K41" s="130"/>
    </row>
    <row r="42" spans="1:11" s="127" customFormat="1" ht="27" customHeight="1">
      <c r="A42" s="130"/>
      <c r="B42" s="129"/>
      <c r="C42" s="129"/>
      <c r="D42" s="130"/>
      <c r="E42" s="130"/>
      <c r="F42" s="130"/>
      <c r="G42" s="130"/>
      <c r="H42" s="130"/>
      <c r="I42" s="130"/>
      <c r="J42" s="130"/>
      <c r="K42" s="130"/>
    </row>
    <row r="43" spans="1:11" s="127" customFormat="1" ht="27" customHeight="1">
      <c r="A43" s="130"/>
      <c r="B43" s="129"/>
      <c r="C43" s="129"/>
      <c r="D43" s="130"/>
      <c r="E43" s="130"/>
      <c r="F43" s="130"/>
      <c r="G43" s="130"/>
      <c r="H43" s="130"/>
      <c r="I43" s="130"/>
      <c r="J43" s="130"/>
      <c r="K43" s="130"/>
    </row>
    <row r="44" spans="1:11" s="127" customFormat="1" ht="27" customHeight="1">
      <c r="A44" s="130"/>
      <c r="B44" s="129"/>
      <c r="C44" s="129"/>
      <c r="D44" s="130"/>
      <c r="E44" s="130"/>
      <c r="F44" s="130"/>
      <c r="G44" s="130"/>
      <c r="H44" s="130"/>
      <c r="I44" s="130"/>
      <c r="J44" s="130"/>
      <c r="K44" s="130"/>
    </row>
    <row r="45" spans="1:11" s="127" customFormat="1" ht="27" customHeight="1">
      <c r="A45" s="130"/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spans="1:11" s="127" customFormat="1" ht="27" customHeight="1">
      <c r="A46" s="130"/>
      <c r="B46" s="129"/>
      <c r="C46" s="129"/>
      <c r="D46" s="130"/>
      <c r="E46" s="130"/>
      <c r="F46" s="130"/>
      <c r="G46" s="130"/>
      <c r="H46" s="130"/>
      <c r="I46" s="130"/>
      <c r="J46" s="130"/>
      <c r="K46" s="130"/>
    </row>
    <row r="47" spans="1:11" s="127" customFormat="1" ht="27" customHeight="1">
      <c r="A47" s="130"/>
      <c r="B47" s="129"/>
      <c r="C47" s="129"/>
      <c r="D47" s="130"/>
      <c r="E47" s="130"/>
      <c r="F47" s="130"/>
      <c r="G47" s="130"/>
      <c r="H47" s="130"/>
      <c r="I47" s="130"/>
      <c r="J47" s="130"/>
      <c r="K47" s="130"/>
    </row>
    <row r="48" spans="1:11" s="127" customFormat="1" ht="27" customHeight="1">
      <c r="A48" s="130"/>
      <c r="B48" s="129"/>
      <c r="C48" s="129"/>
      <c r="D48" s="130"/>
      <c r="E48" s="130"/>
      <c r="F48" s="130"/>
      <c r="G48" s="130"/>
      <c r="H48" s="130"/>
      <c r="I48" s="130"/>
      <c r="J48" s="130"/>
      <c r="K48" s="130"/>
    </row>
    <row r="49" spans="1:11" s="127" customFormat="1" ht="27" customHeight="1">
      <c r="A49" s="130"/>
      <c r="B49" s="129"/>
      <c r="C49" s="129"/>
      <c r="D49" s="130"/>
      <c r="E49" s="130"/>
      <c r="F49" s="130"/>
      <c r="G49" s="130"/>
      <c r="H49" s="130"/>
      <c r="I49" s="130"/>
      <c r="J49" s="130"/>
      <c r="K49" s="130"/>
    </row>
    <row r="50" spans="1:11" s="127" customFormat="1" ht="27" customHeight="1">
      <c r="A50" s="130"/>
      <c r="B50" s="129"/>
      <c r="C50" s="129"/>
      <c r="D50" s="130"/>
      <c r="E50" s="130"/>
      <c r="F50" s="130"/>
      <c r="G50" s="130"/>
      <c r="H50" s="130"/>
      <c r="I50" s="130"/>
      <c r="J50" s="130"/>
      <c r="K50" s="130"/>
    </row>
    <row r="51" spans="1:11" s="127" customFormat="1" ht="27" customHeight="1">
      <c r="A51" s="130"/>
      <c r="B51" s="129"/>
      <c r="C51" s="129"/>
      <c r="D51" s="130"/>
      <c r="E51" s="130"/>
      <c r="F51" s="130"/>
      <c r="G51" s="130"/>
      <c r="H51" s="130"/>
      <c r="I51" s="130"/>
      <c r="J51" s="130"/>
      <c r="K51" s="130"/>
    </row>
    <row r="52" spans="1:11" s="127" customFormat="1" ht="27" customHeight="1">
      <c r="A52" s="130"/>
      <c r="B52" s="129"/>
      <c r="C52" s="129"/>
      <c r="D52" s="130"/>
      <c r="E52" s="130"/>
      <c r="F52" s="130"/>
      <c r="G52" s="130"/>
      <c r="H52" s="130"/>
      <c r="I52" s="130"/>
      <c r="J52" s="130"/>
      <c r="K52" s="130"/>
    </row>
    <row r="53" spans="1:11" s="127" customFormat="1" ht="27" customHeight="1">
      <c r="A53" s="130"/>
      <c r="B53" s="129"/>
      <c r="C53" s="129"/>
      <c r="D53" s="130"/>
      <c r="E53" s="130"/>
      <c r="F53" s="130"/>
      <c r="G53" s="130"/>
      <c r="H53" s="130"/>
      <c r="I53" s="130"/>
      <c r="J53" s="130"/>
      <c r="K53" s="130"/>
    </row>
    <row r="54" spans="1:11" s="127" customFormat="1" ht="27" customHeight="1">
      <c r="A54" s="130"/>
      <c r="B54" s="129"/>
      <c r="C54" s="129"/>
      <c r="D54" s="130"/>
      <c r="E54" s="130"/>
      <c r="F54" s="130"/>
      <c r="G54" s="130"/>
      <c r="H54" s="130"/>
      <c r="I54" s="130"/>
      <c r="J54" s="130"/>
      <c r="K54" s="130"/>
    </row>
    <row r="55" spans="1:11" s="127" customFormat="1" ht="27" customHeight="1">
      <c r="A55" s="130"/>
      <c r="B55" s="129"/>
      <c r="C55" s="129"/>
      <c r="D55" s="130"/>
      <c r="E55" s="130"/>
      <c r="F55" s="130"/>
      <c r="G55" s="130"/>
      <c r="H55" s="130"/>
      <c r="I55" s="130"/>
      <c r="J55" s="130"/>
      <c r="K55" s="130"/>
    </row>
    <row r="56" spans="1:11" s="127" customFormat="1" ht="27" customHeight="1">
      <c r="A56" s="130"/>
      <c r="B56" s="129"/>
      <c r="C56" s="129"/>
      <c r="D56" s="130"/>
      <c r="E56" s="130"/>
      <c r="F56" s="130"/>
      <c r="G56" s="130"/>
      <c r="H56" s="130"/>
      <c r="I56" s="130"/>
      <c r="J56" s="130"/>
      <c r="K56" s="130"/>
    </row>
    <row r="57" spans="1:11" s="127" customFormat="1" ht="27" customHeight="1">
      <c r="A57" s="130"/>
      <c r="B57" s="129"/>
      <c r="C57" s="129"/>
      <c r="D57" s="130"/>
      <c r="E57" s="130"/>
      <c r="F57" s="130"/>
      <c r="G57" s="130"/>
      <c r="H57" s="130"/>
      <c r="I57" s="130"/>
      <c r="J57" s="130"/>
      <c r="K57" s="130"/>
    </row>
    <row r="58" spans="1:11" s="127" customFormat="1" ht="27" customHeight="1">
      <c r="A58" s="130"/>
      <c r="B58" s="129"/>
      <c r="C58" s="129"/>
      <c r="D58" s="130"/>
      <c r="E58" s="130"/>
      <c r="F58" s="130"/>
      <c r="G58" s="130"/>
      <c r="H58" s="130"/>
      <c r="I58" s="130"/>
      <c r="J58" s="130"/>
      <c r="K58" s="130"/>
    </row>
    <row r="59" spans="1:11" s="127" customFormat="1" ht="27" customHeight="1">
      <c r="A59" s="130"/>
      <c r="B59" s="129"/>
      <c r="C59" s="129"/>
      <c r="D59" s="130"/>
      <c r="E59" s="130"/>
      <c r="F59" s="130"/>
      <c r="G59" s="130"/>
      <c r="H59" s="130"/>
      <c r="I59" s="130"/>
      <c r="J59" s="130"/>
      <c r="K59" s="130"/>
    </row>
    <row r="60" spans="1:11" s="127" customFormat="1" ht="27" customHeight="1">
      <c r="A60" s="130"/>
      <c r="B60" s="129"/>
      <c r="C60" s="129"/>
      <c r="D60" s="130"/>
      <c r="E60" s="130"/>
      <c r="F60" s="130"/>
      <c r="G60" s="130"/>
      <c r="H60" s="130"/>
      <c r="I60" s="130"/>
      <c r="J60" s="130"/>
      <c r="K60" s="130"/>
    </row>
    <row r="61" spans="1:11" s="127" customFormat="1" ht="27" customHeight="1">
      <c r="A61" s="130"/>
      <c r="B61" s="129"/>
      <c r="C61" s="129"/>
      <c r="D61" s="130"/>
      <c r="E61" s="130"/>
      <c r="F61" s="130"/>
      <c r="G61" s="130"/>
      <c r="H61" s="130"/>
      <c r="I61" s="130"/>
      <c r="J61" s="130"/>
      <c r="K61" s="130"/>
    </row>
    <row r="62" spans="1:11" s="127" customFormat="1" ht="27" customHeight="1">
      <c r="A62" s="130"/>
      <c r="B62" s="129"/>
      <c r="C62" s="129"/>
      <c r="D62" s="130"/>
      <c r="E62" s="130"/>
      <c r="F62" s="130"/>
      <c r="G62" s="130"/>
      <c r="H62" s="130"/>
      <c r="I62" s="130"/>
      <c r="J62" s="130"/>
      <c r="K62" s="130"/>
    </row>
    <row r="63" spans="1:11" s="127" customFormat="1" ht="27" customHeight="1">
      <c r="A63" s="130"/>
      <c r="B63" s="129"/>
      <c r="C63" s="129"/>
      <c r="D63" s="130"/>
      <c r="E63" s="130"/>
      <c r="F63" s="130"/>
      <c r="G63" s="130"/>
      <c r="H63" s="130"/>
      <c r="I63" s="130"/>
      <c r="J63" s="130"/>
      <c r="K63" s="130"/>
    </row>
    <row r="64" spans="1:11" s="127" customFormat="1" ht="27" customHeight="1">
      <c r="A64" s="130"/>
      <c r="B64" s="129"/>
      <c r="C64" s="129"/>
      <c r="D64" s="130"/>
      <c r="E64" s="130"/>
      <c r="F64" s="130"/>
      <c r="G64" s="130"/>
      <c r="H64" s="130"/>
      <c r="I64" s="130"/>
      <c r="J64" s="130"/>
      <c r="K64" s="130"/>
    </row>
    <row r="65" spans="1:11" s="127" customFormat="1" ht="27" customHeight="1">
      <c r="A65" s="130"/>
      <c r="B65" s="129"/>
      <c r="C65" s="129"/>
      <c r="D65" s="130"/>
      <c r="E65" s="130"/>
      <c r="F65" s="130"/>
      <c r="G65" s="130"/>
      <c r="H65" s="130"/>
      <c r="I65" s="130"/>
      <c r="J65" s="130"/>
      <c r="K65" s="130"/>
    </row>
    <row r="66" spans="1:11" s="127" customFormat="1" ht="27" customHeight="1">
      <c r="A66" s="130"/>
      <c r="B66" s="129"/>
      <c r="C66" s="129"/>
      <c r="D66" s="130"/>
      <c r="E66" s="130"/>
      <c r="F66" s="130"/>
      <c r="G66" s="130"/>
      <c r="H66" s="130"/>
      <c r="I66" s="130"/>
      <c r="J66" s="130"/>
      <c r="K66" s="130"/>
    </row>
    <row r="67" spans="1:11" s="127" customFormat="1" ht="27" customHeight="1">
      <c r="A67" s="130"/>
      <c r="B67" s="129"/>
      <c r="C67" s="129"/>
      <c r="D67" s="130"/>
      <c r="E67" s="130"/>
      <c r="F67" s="130"/>
      <c r="G67" s="130"/>
      <c r="H67" s="130"/>
      <c r="I67" s="130"/>
      <c r="J67" s="130"/>
      <c r="K67" s="130"/>
    </row>
    <row r="68" spans="1:11" s="127" customFormat="1" ht="27" customHeight="1">
      <c r="A68" s="130"/>
      <c r="B68" s="129"/>
      <c r="C68" s="129"/>
      <c r="D68" s="130"/>
      <c r="E68" s="130"/>
      <c r="F68" s="130"/>
      <c r="G68" s="130"/>
      <c r="H68" s="130"/>
      <c r="I68" s="130"/>
      <c r="J68" s="130"/>
      <c r="K68" s="130"/>
    </row>
    <row r="69" spans="1:11" s="127" customFormat="1" ht="27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</row>
  </sheetData>
  <mergeCells count="2">
    <mergeCell ref="C1:K1"/>
    <mergeCell ref="A2:G2"/>
  </mergeCells>
  <conditionalFormatting sqref="B1">
    <cfRule type="duplicateValues" dxfId="32" priority="1"/>
    <cfRule type="duplicateValues" dxfId="31" priority="2"/>
  </conditionalFormatting>
  <conditionalFormatting sqref="C1">
    <cfRule type="duplicateValues" dxfId="30" priority="3"/>
  </conditionalFormatting>
  <dataValidations count="1">
    <dataValidation type="list" allowBlank="1" showInputMessage="1" showErrorMessage="1" sqref="C13 C10:C11 C18:C69" xr:uid="{0B9C9C9A-EA3A-4F69-9F18-86F398A87B68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23D53E-9886-46ED-9F6A-BD15797CD77D}">
          <x14:formula1>
            <xm:f>'Code Data'!$J$3:$J$6</xm:f>
          </x14:formula1>
          <xm:sqref>B1 B3:B9 B18:B1048576</xm:sqref>
        </x14:dataValidation>
        <x14:dataValidation type="list" allowBlank="1" showInputMessage="1" showErrorMessage="1" xr:uid="{389B6880-1D0B-4CBE-BD35-7769FA9D6176}">
          <x14:formula1>
            <xm:f>'Code Data'!$S$2:$S$5</xm:f>
          </x14:formula1>
          <xm:sqref>E1:E9 E18:E1048576</xm:sqref>
        </x14:dataValidation>
        <x14:dataValidation type="list" allowBlank="1" showInputMessage="1" showErrorMessage="1" xr:uid="{58A21D18-4480-42AE-A611-D1DF9C82B40E}">
          <x14:formula1>
            <xm:f>'Code Data'!$F$3:$F$19</xm:f>
          </x14:formula1>
          <xm:sqref>D17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3823-7884-41E2-AD16-6E3DD4D89845}">
  <sheetPr>
    <pageSetUpPr fitToPage="1"/>
  </sheetPr>
  <dimension ref="A1:W202"/>
  <sheetViews>
    <sheetView showGridLines="0" workbookViewId="0">
      <pane xSplit="7" ySplit="5" topLeftCell="H106" activePane="bottomRight" state="frozen"/>
      <selection pane="bottomRight" activeCell="D110" sqref="D110"/>
      <selection pane="bottomLeft"/>
      <selection pane="topRight"/>
    </sheetView>
  </sheetViews>
  <sheetFormatPr defaultColWidth="9.28515625" defaultRowHeight="14.25" customHeight="1"/>
  <cols>
    <col min="1" max="1" width="15.42578125" style="75" customWidth="1"/>
    <col min="2" max="2" width="20.28515625" style="75" customWidth="1"/>
    <col min="3" max="3" width="24.42578125" style="75" customWidth="1"/>
    <col min="4" max="4" width="48.7109375" style="75" customWidth="1"/>
    <col min="5" max="5" width="30.5703125" style="75" customWidth="1"/>
    <col min="6" max="7" width="10.5703125" style="95" customWidth="1"/>
    <col min="8" max="8" width="14.28515625" style="75" customWidth="1"/>
    <col min="9" max="9" width="22.140625" style="75" customWidth="1"/>
    <col min="10" max="10" width="36.5703125" style="75" customWidth="1"/>
    <col min="11" max="11" width="15.85546875" style="75" customWidth="1"/>
    <col min="12" max="12" width="22.140625" style="75" customWidth="1"/>
    <col min="13" max="13" width="14.85546875" style="75" customWidth="1"/>
    <col min="14" max="14" width="17.85546875" style="447" customWidth="1"/>
    <col min="15" max="15" width="22.85546875" style="75" customWidth="1"/>
    <col min="16" max="16" width="19.7109375" style="75" customWidth="1"/>
    <col min="17" max="17" width="39" style="75" customWidth="1"/>
    <col min="18" max="18" width="88.140625" style="75" customWidth="1"/>
    <col min="19" max="22" width="34.42578125" style="75" customWidth="1"/>
    <col min="23" max="16384" width="9.28515625" style="75"/>
  </cols>
  <sheetData>
    <row r="1" spans="1:22" ht="81.75" customHeight="1">
      <c r="A1" s="122"/>
      <c r="B1" s="123"/>
      <c r="C1" s="728" t="s">
        <v>241</v>
      </c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237"/>
    </row>
    <row r="2" spans="1:22" ht="26.25" customHeight="1">
      <c r="A2" s="724" t="s">
        <v>270</v>
      </c>
      <c r="B2" s="724"/>
      <c r="C2" s="724"/>
      <c r="D2" s="724"/>
      <c r="E2" s="724"/>
      <c r="F2" s="724"/>
      <c r="G2" s="725"/>
      <c r="H2" s="566" t="s">
        <v>76</v>
      </c>
      <c r="I2" s="566" t="s">
        <v>77</v>
      </c>
      <c r="J2" s="566" t="s">
        <v>78</v>
      </c>
      <c r="K2" s="566" t="s">
        <v>79</v>
      </c>
      <c r="L2" s="566" t="s">
        <v>80</v>
      </c>
      <c r="M2" s="566" t="s">
        <v>81</v>
      </c>
      <c r="N2" s="566" t="s">
        <v>271</v>
      </c>
      <c r="R2" s="187" t="s">
        <v>272</v>
      </c>
    </row>
    <row r="3" spans="1:22" ht="26.25" customHeight="1">
      <c r="A3" s="724"/>
      <c r="B3" s="724"/>
      <c r="C3" s="724"/>
      <c r="D3" s="724"/>
      <c r="E3" s="724"/>
      <c r="F3" s="724"/>
      <c r="G3" s="725"/>
      <c r="H3" s="567">
        <f>COUNTIF(B:B, "Laptop")</f>
        <v>7</v>
      </c>
      <c r="I3" s="567">
        <f>COUNTIF(B:B, "PC")</f>
        <v>40</v>
      </c>
      <c r="J3" s="567">
        <f>COUNTIF(B:B, "Màn hình máy tính")</f>
        <v>55</v>
      </c>
      <c r="K3" s="567">
        <f>COUNTIF(B:B, "Chuột ")</f>
        <v>35</v>
      </c>
      <c r="L3" s="567">
        <f>COUNTIF(B:B, "Bàn phím")</f>
        <v>33</v>
      </c>
      <c r="M3" s="567">
        <f>COUNTIF(B:B, "Ổ cứng")</f>
        <v>11</v>
      </c>
      <c r="N3" s="585">
        <f>COUNTIF(A:A, "khác")</f>
        <v>6</v>
      </c>
      <c r="R3" s="187"/>
    </row>
    <row r="4" spans="1:22" ht="26.25" customHeight="1">
      <c r="A4" s="561"/>
      <c r="B4" s="561"/>
      <c r="C4" s="561"/>
      <c r="D4" s="561"/>
      <c r="E4" s="561"/>
      <c r="F4" s="561"/>
      <c r="G4" s="565"/>
      <c r="H4" s="565"/>
      <c r="I4" s="626"/>
      <c r="J4" s="626"/>
      <c r="K4" s="626"/>
      <c r="L4" s="626"/>
      <c r="M4" s="626"/>
      <c r="N4" s="565"/>
      <c r="O4" s="565"/>
      <c r="R4" s="187"/>
    </row>
    <row r="5" spans="1:22" s="540" customFormat="1" ht="51" customHeight="1">
      <c r="A5" s="536" t="s">
        <v>273</v>
      </c>
      <c r="B5" s="537" t="s">
        <v>16</v>
      </c>
      <c r="C5" s="537" t="s">
        <v>274</v>
      </c>
      <c r="D5" s="537" t="s">
        <v>87</v>
      </c>
      <c r="E5" s="537" t="s">
        <v>275</v>
      </c>
      <c r="F5" s="537" t="s">
        <v>276</v>
      </c>
      <c r="G5" s="537" t="s">
        <v>89</v>
      </c>
      <c r="H5" s="538" t="s">
        <v>277</v>
      </c>
      <c r="I5" s="538" t="s">
        <v>278</v>
      </c>
      <c r="J5" s="538" t="s">
        <v>279</v>
      </c>
      <c r="K5" s="538" t="s">
        <v>280</v>
      </c>
      <c r="L5" s="537" t="s">
        <v>281</v>
      </c>
      <c r="M5" s="537" t="s">
        <v>282</v>
      </c>
      <c r="N5" s="541" t="s">
        <v>283</v>
      </c>
      <c r="O5" s="538" t="s">
        <v>284</v>
      </c>
      <c r="P5" s="538" t="s">
        <v>285</v>
      </c>
      <c r="Q5" s="538" t="s">
        <v>104</v>
      </c>
      <c r="R5" s="539" t="s">
        <v>286</v>
      </c>
      <c r="S5" s="539" t="s">
        <v>287</v>
      </c>
      <c r="T5" s="539" t="s">
        <v>288</v>
      </c>
      <c r="U5" s="539" t="s">
        <v>289</v>
      </c>
      <c r="V5" s="539" t="s">
        <v>290</v>
      </c>
    </row>
    <row r="6" spans="1:22" s="160" customFormat="1" ht="27.75" hidden="1" customHeight="1">
      <c r="A6" s="253" t="s">
        <v>291</v>
      </c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5" t="s">
        <v>292</v>
      </c>
      <c r="N6" s="255"/>
      <c r="O6" s="254"/>
      <c r="P6" s="254"/>
      <c r="Q6" s="254"/>
      <c r="R6" s="256"/>
      <c r="S6" s="256"/>
      <c r="T6" s="256"/>
      <c r="U6" s="256"/>
      <c r="V6" s="256"/>
    </row>
    <row r="7" spans="1:22" s="155" customFormat="1" ht="96.75" hidden="1" customHeight="1">
      <c r="A7" s="163" t="s">
        <v>293</v>
      </c>
      <c r="B7" s="163" t="s">
        <v>77</v>
      </c>
      <c r="C7" s="163"/>
      <c r="D7" s="252" t="s">
        <v>294</v>
      </c>
      <c r="E7" s="163" t="s">
        <v>295</v>
      </c>
      <c r="F7" s="139" t="s">
        <v>296</v>
      </c>
      <c r="G7" s="139">
        <v>1</v>
      </c>
      <c r="H7" s="163">
        <v>24004</v>
      </c>
      <c r="I7" s="140" t="str">
        <f>INDEX('6. data thông tin nhân sự'!C:C,MATCH('03. Chi tiết TS các bộ phận'!H7,'6. data thông tin nhân sự'!B:B,0))</f>
        <v>Vũ Anh Duy</v>
      </c>
      <c r="J7" s="140" t="str">
        <f>INDEX('6. data thông tin nhân sự'!G:G,MATCH('03. Chi tiết TS các bộ phận'!H7,'6. data thông tin nhân sự'!B:B,0))</f>
        <v>Sản xuất Video - Video Prodution</v>
      </c>
      <c r="K7" s="140" t="str">
        <f>INDEX('6. data thông tin nhân sự'!D:D,MATCH('03. Chi tiết TS các bộ phận'!H7,'6. data thông tin nhân sự'!B:B,0))</f>
        <v>Chính thức</v>
      </c>
      <c r="L7" s="718" t="s">
        <v>297</v>
      </c>
      <c r="M7" s="231">
        <v>46202</v>
      </c>
      <c r="N7" s="231" t="str">
        <f>INDEX('6. data thông tin nhân sự'!N:N, MATCH('03. Chi tiết TS các bộ phận'!H7, '6. data thông tin nhân sự'!B:B,0))</f>
        <v>04/04/2024</v>
      </c>
      <c r="O7" s="163" t="s">
        <v>298</v>
      </c>
      <c r="P7" s="163"/>
      <c r="Q7" s="163"/>
      <c r="R7" s="163"/>
      <c r="S7" s="163"/>
      <c r="T7" s="163"/>
      <c r="U7" s="163"/>
      <c r="V7" s="163"/>
    </row>
    <row r="8" spans="1:22" s="155" customFormat="1" ht="31.5" hidden="1" customHeight="1">
      <c r="A8" s="163" t="s">
        <v>144</v>
      </c>
      <c r="B8" s="163" t="s">
        <v>78</v>
      </c>
      <c r="C8" s="163" t="s">
        <v>299</v>
      </c>
      <c r="D8" s="163"/>
      <c r="E8" s="163" t="s">
        <v>295</v>
      </c>
      <c r="F8" s="139" t="s">
        <v>296</v>
      </c>
      <c r="G8" s="139">
        <v>1</v>
      </c>
      <c r="H8" s="163">
        <v>24004</v>
      </c>
      <c r="I8" s="140" t="str">
        <f>INDEX('6. data thông tin nhân sự'!C:C,MATCH('03. Chi tiết TS các bộ phận'!H8,'6. data thông tin nhân sự'!B:B,0))</f>
        <v>Vũ Anh Duy</v>
      </c>
      <c r="J8" s="140" t="str">
        <f>INDEX('6. data thông tin nhân sự'!G:G,MATCH('03. Chi tiết TS các bộ phận'!H8,'6. data thông tin nhân sự'!B:B,0))</f>
        <v>Sản xuất Video - Video Prodution</v>
      </c>
      <c r="K8" s="140" t="str">
        <f>INDEX('6. data thông tin nhân sự'!D:D,MATCH('03. Chi tiết TS các bộ phận'!H8,'6. data thông tin nhân sự'!B:B,0))</f>
        <v>Chính thức</v>
      </c>
      <c r="L8" s="719"/>
      <c r="M8" s="231">
        <v>46202</v>
      </c>
      <c r="N8" s="231">
        <v>46006</v>
      </c>
      <c r="O8" s="163" t="s">
        <v>298</v>
      </c>
      <c r="P8" s="733" t="s">
        <v>121</v>
      </c>
      <c r="Q8" s="731" t="s">
        <v>300</v>
      </c>
      <c r="R8" s="163"/>
      <c r="S8" s="163"/>
      <c r="T8" s="163"/>
      <c r="U8" s="163"/>
      <c r="V8" s="163"/>
    </row>
    <row r="9" spans="1:22" s="155" customFormat="1" ht="31.5" hidden="1" customHeight="1">
      <c r="A9" s="163" t="s">
        <v>146</v>
      </c>
      <c r="B9" s="163" t="s">
        <v>78</v>
      </c>
      <c r="C9" s="163" t="s">
        <v>299</v>
      </c>
      <c r="D9" s="163"/>
      <c r="E9" s="163" t="s">
        <v>295</v>
      </c>
      <c r="F9" s="139" t="s">
        <v>296</v>
      </c>
      <c r="G9" s="139">
        <v>1</v>
      </c>
      <c r="H9" s="163">
        <v>24004</v>
      </c>
      <c r="I9" s="140" t="str">
        <f>INDEX('6. data thông tin nhân sự'!C:C,MATCH('03. Chi tiết TS các bộ phận'!H9,'6. data thông tin nhân sự'!B:B,0))</f>
        <v>Vũ Anh Duy</v>
      </c>
      <c r="J9" s="140" t="str">
        <f>INDEX('6. data thông tin nhân sự'!G:G,MATCH('03. Chi tiết TS các bộ phận'!H9,'6. data thông tin nhân sự'!B:B,0))</f>
        <v>Sản xuất Video - Video Prodution</v>
      </c>
      <c r="K9" s="140" t="str">
        <f>INDEX('6. data thông tin nhân sự'!D:D,MATCH('03. Chi tiết TS các bộ phận'!H9,'6. data thông tin nhân sự'!B:B,0))</f>
        <v>Chính thức</v>
      </c>
      <c r="L9" s="719"/>
      <c r="M9" s="231">
        <v>46202</v>
      </c>
      <c r="N9" s="231">
        <v>46006</v>
      </c>
      <c r="O9" s="163" t="s">
        <v>298</v>
      </c>
      <c r="P9" s="734"/>
      <c r="Q9" s="732"/>
      <c r="R9" s="163"/>
      <c r="S9" s="163"/>
      <c r="T9" s="163"/>
      <c r="U9" s="163"/>
      <c r="V9" s="163"/>
    </row>
    <row r="10" spans="1:22" s="155" customFormat="1" ht="31.5" customHeight="1">
      <c r="A10" s="163" t="s">
        <v>301</v>
      </c>
      <c r="B10" s="163" t="s">
        <v>79</v>
      </c>
      <c r="C10" s="163"/>
      <c r="D10" s="163"/>
      <c r="E10" s="163" t="s">
        <v>295</v>
      </c>
      <c r="F10" s="139" t="s">
        <v>296</v>
      </c>
      <c r="G10" s="139">
        <v>1</v>
      </c>
      <c r="H10" s="163">
        <v>24004</v>
      </c>
      <c r="I10" s="140" t="str">
        <f>INDEX('6. data thông tin nhân sự'!C:C,MATCH('03. Chi tiết TS các bộ phận'!H10,'6. data thông tin nhân sự'!B:B,0))</f>
        <v>Vũ Anh Duy</v>
      </c>
      <c r="J10" s="140" t="str">
        <f>INDEX('6. data thông tin nhân sự'!G:G,MATCH('03. Chi tiết TS các bộ phận'!H10,'6. data thông tin nhân sự'!B:B,0))</f>
        <v>Sản xuất Video - Video Prodution</v>
      </c>
      <c r="K10" s="140" t="str">
        <f>INDEX('6. data thông tin nhân sự'!D:D,MATCH('03. Chi tiết TS các bộ phận'!H10,'6. data thông tin nhân sự'!B:B,0))</f>
        <v>Chính thức</v>
      </c>
      <c r="L10" s="720"/>
      <c r="M10" s="231">
        <v>46202</v>
      </c>
      <c r="N10" s="231" t="str">
        <f>INDEX('6. data thông tin nhân sự'!N:N, MATCH('03. Chi tiết TS các bộ phận'!H10, '6. data thông tin nhân sự'!B:B,0))</f>
        <v>04/04/2024</v>
      </c>
      <c r="O10" s="163" t="s">
        <v>298</v>
      </c>
      <c r="P10" s="163"/>
      <c r="Q10" s="163"/>
      <c r="R10" s="163"/>
      <c r="S10" s="163"/>
      <c r="T10" s="163"/>
      <c r="U10" s="163"/>
      <c r="V10" s="163"/>
    </row>
    <row r="11" spans="1:22" s="155" customFormat="1" ht="83.25" hidden="1" customHeight="1">
      <c r="A11" s="161" t="s">
        <v>302</v>
      </c>
      <c r="B11" s="161" t="s">
        <v>77</v>
      </c>
      <c r="C11" s="161"/>
      <c r="D11" s="236" t="s">
        <v>303</v>
      </c>
      <c r="E11" s="161" t="s">
        <v>295</v>
      </c>
      <c r="F11" s="162" t="s">
        <v>296</v>
      </c>
      <c r="G11" s="162">
        <v>1</v>
      </c>
      <c r="H11" s="161">
        <v>25026</v>
      </c>
      <c r="I11" s="166" t="str">
        <f>INDEX('6. data thông tin nhân sự'!C:C,MATCH('03. Chi tiết TS các bộ phận'!H11,'6. data thông tin nhân sự'!B:B,0))</f>
        <v>Vũ Hoàng Duy</v>
      </c>
      <c r="J11" s="166" t="str">
        <f>INDEX('6. data thông tin nhân sự'!G:G,MATCH('03. Chi tiết TS các bộ phận'!H11,'6. data thông tin nhân sự'!B:B,0))</f>
        <v>Sản xuất Video - Video Prodution</v>
      </c>
      <c r="K11" s="166" t="str">
        <f>INDEX('6. data thông tin nhân sự'!D:D,MATCH('03. Chi tiết TS các bộ phận'!H11,'6. data thông tin nhân sự'!B:B,0))</f>
        <v>Chính thức</v>
      </c>
      <c r="L11" s="726" t="s">
        <v>304</v>
      </c>
      <c r="M11" s="228">
        <v>46204</v>
      </c>
      <c r="N11" s="228" t="str">
        <f>INDEX('6. data thông tin nhân sự'!N:N, MATCH('03. Chi tiết TS các bộ phận'!H11, '6. data thông tin nhân sự'!B:B,0))</f>
        <v>30/07/2025</v>
      </c>
      <c r="O11" s="161" t="s">
        <v>298</v>
      </c>
      <c r="P11" s="161"/>
      <c r="Q11" s="161"/>
      <c r="R11" s="161"/>
      <c r="S11" s="161"/>
      <c r="T11" s="161"/>
      <c r="U11" s="161"/>
      <c r="V11" s="161"/>
    </row>
    <row r="12" spans="1:22" s="155" customFormat="1" ht="34.5" hidden="1" customHeight="1">
      <c r="A12" s="161" t="s">
        <v>150</v>
      </c>
      <c r="B12" s="161" t="s">
        <v>78</v>
      </c>
      <c r="C12" s="161" t="s">
        <v>305</v>
      </c>
      <c r="D12" s="161"/>
      <c r="E12" s="161" t="s">
        <v>295</v>
      </c>
      <c r="F12" s="162" t="s">
        <v>296</v>
      </c>
      <c r="G12" s="162">
        <v>1</v>
      </c>
      <c r="H12" s="161">
        <v>25026</v>
      </c>
      <c r="I12" s="166" t="str">
        <f>INDEX('6. data thông tin nhân sự'!C:C,MATCH('03. Chi tiết TS các bộ phận'!H12,'6. data thông tin nhân sự'!B:B,0))</f>
        <v>Vũ Hoàng Duy</v>
      </c>
      <c r="J12" s="166" t="str">
        <f>INDEX('6. data thông tin nhân sự'!G:G,MATCH('03. Chi tiết TS các bộ phận'!H12,'6. data thông tin nhân sự'!B:B,0))</f>
        <v>Sản xuất Video - Video Prodution</v>
      </c>
      <c r="K12" s="166" t="str">
        <f>INDEX('6. data thông tin nhân sự'!D:D,MATCH('03. Chi tiết TS các bộ phận'!H12,'6. data thông tin nhân sự'!B:B,0))</f>
        <v>Chính thức</v>
      </c>
      <c r="L12" s="726"/>
      <c r="M12" s="228">
        <v>46204</v>
      </c>
      <c r="N12" s="228">
        <v>46006</v>
      </c>
      <c r="O12" s="161" t="s">
        <v>298</v>
      </c>
      <c r="P12" s="735" t="s">
        <v>121</v>
      </c>
      <c r="Q12" s="729" t="s">
        <v>306</v>
      </c>
      <c r="R12" s="161"/>
      <c r="S12" s="161"/>
      <c r="T12" s="161"/>
      <c r="U12" s="161"/>
      <c r="V12" s="161"/>
    </row>
    <row r="13" spans="1:22" s="155" customFormat="1" ht="34.5" hidden="1" customHeight="1">
      <c r="A13" s="161" t="s">
        <v>152</v>
      </c>
      <c r="B13" s="161" t="s">
        <v>78</v>
      </c>
      <c r="C13" s="161" t="s">
        <v>305</v>
      </c>
      <c r="D13" s="161"/>
      <c r="E13" s="161" t="s">
        <v>295</v>
      </c>
      <c r="F13" s="162" t="s">
        <v>296</v>
      </c>
      <c r="G13" s="162">
        <v>1</v>
      </c>
      <c r="H13" s="161">
        <v>25026</v>
      </c>
      <c r="I13" s="166" t="str">
        <f>INDEX('6. data thông tin nhân sự'!C:C,MATCH('03. Chi tiết TS các bộ phận'!H13,'6. data thông tin nhân sự'!B:B,0))</f>
        <v>Vũ Hoàng Duy</v>
      </c>
      <c r="J13" s="166" t="str">
        <f>INDEX('6. data thông tin nhân sự'!G:G,MATCH('03. Chi tiết TS các bộ phận'!H13,'6. data thông tin nhân sự'!B:B,0))</f>
        <v>Sản xuất Video - Video Prodution</v>
      </c>
      <c r="K13" s="166" t="str">
        <f>INDEX('6. data thông tin nhân sự'!D:D,MATCH('03. Chi tiết TS các bộ phận'!H13,'6. data thông tin nhân sự'!B:B,0))</f>
        <v>Chính thức</v>
      </c>
      <c r="L13" s="726"/>
      <c r="M13" s="228">
        <v>46204</v>
      </c>
      <c r="N13" s="228">
        <v>46006</v>
      </c>
      <c r="O13" s="161" t="s">
        <v>298</v>
      </c>
      <c r="P13" s="736"/>
      <c r="Q13" s="730"/>
      <c r="R13" s="161"/>
      <c r="S13" s="161"/>
      <c r="T13" s="161"/>
      <c r="U13" s="161"/>
      <c r="V13" s="161"/>
    </row>
    <row r="14" spans="1:22" s="155" customFormat="1" ht="34.5" hidden="1" customHeight="1">
      <c r="A14" s="161" t="s">
        <v>307</v>
      </c>
      <c r="B14" s="161" t="s">
        <v>80</v>
      </c>
      <c r="C14" s="161"/>
      <c r="D14" s="161"/>
      <c r="E14" s="161" t="s">
        <v>295</v>
      </c>
      <c r="F14" s="162" t="s">
        <v>296</v>
      </c>
      <c r="G14" s="162">
        <v>1</v>
      </c>
      <c r="H14" s="161">
        <v>25026</v>
      </c>
      <c r="I14" s="166" t="str">
        <f>INDEX('6. data thông tin nhân sự'!C:C,MATCH('03. Chi tiết TS các bộ phận'!H14,'6. data thông tin nhân sự'!B:B,0))</f>
        <v>Vũ Hoàng Duy</v>
      </c>
      <c r="J14" s="166" t="str">
        <f>INDEX('6. data thông tin nhân sự'!G:G,MATCH('03. Chi tiết TS các bộ phận'!H14,'6. data thông tin nhân sự'!B:B,0))</f>
        <v>Sản xuất Video - Video Prodution</v>
      </c>
      <c r="K14" s="166" t="str">
        <f>INDEX('6. data thông tin nhân sự'!D:D,MATCH('03. Chi tiết TS các bộ phận'!H14,'6. data thông tin nhân sự'!B:B,0))</f>
        <v>Chính thức</v>
      </c>
      <c r="L14" s="726"/>
      <c r="M14" s="228">
        <v>46204</v>
      </c>
      <c r="N14" s="228" t="str">
        <f>INDEX('6. data thông tin nhân sự'!N:N, MATCH('03. Chi tiết TS các bộ phận'!H14, '6. data thông tin nhân sự'!B:B,0))</f>
        <v>30/07/2025</v>
      </c>
      <c r="O14" s="161" t="s">
        <v>298</v>
      </c>
      <c r="P14" s="161"/>
      <c r="Q14" s="161"/>
      <c r="R14" s="161"/>
      <c r="S14" s="161"/>
      <c r="T14" s="161"/>
      <c r="U14" s="161"/>
      <c r="V14" s="161"/>
    </row>
    <row r="15" spans="1:22" s="155" customFormat="1" ht="71.25" hidden="1" customHeight="1">
      <c r="A15" s="163" t="s">
        <v>129</v>
      </c>
      <c r="B15" s="163" t="s">
        <v>77</v>
      </c>
      <c r="C15" s="163"/>
      <c r="D15" s="252" t="s">
        <v>308</v>
      </c>
      <c r="E15" s="163" t="s">
        <v>295</v>
      </c>
      <c r="F15" s="139" t="s">
        <v>296</v>
      </c>
      <c r="G15" s="139">
        <v>1</v>
      </c>
      <c r="H15" s="163">
        <v>25011</v>
      </c>
      <c r="I15" s="140" t="str">
        <f>INDEX('6. data thông tin nhân sự'!C:C,MATCH('03. Chi tiết TS các bộ phận'!H15,'6. data thông tin nhân sự'!B:B,0))</f>
        <v>Lê Công Hoàng</v>
      </c>
      <c r="J15" s="140" t="str">
        <f>INDEX('6. data thông tin nhân sự'!G:G,MATCH('03. Chi tiết TS các bộ phận'!H15,'6. data thông tin nhân sự'!B:B,0))</f>
        <v>Sản xuất Video - Video Prodution</v>
      </c>
      <c r="K15" s="140" t="str">
        <f>INDEX('6. data thông tin nhân sự'!D:D,MATCH('03. Chi tiết TS các bộ phận'!H15,'6. data thông tin nhân sự'!B:B,0))</f>
        <v>Chính thức</v>
      </c>
      <c r="L15" s="727" t="s">
        <v>309</v>
      </c>
      <c r="M15" s="231">
        <v>46204</v>
      </c>
      <c r="N15" s="231">
        <v>45917</v>
      </c>
      <c r="O15" s="163" t="s">
        <v>298</v>
      </c>
      <c r="P15" s="737" t="s">
        <v>121</v>
      </c>
      <c r="Q15" s="149" t="s">
        <v>310</v>
      </c>
      <c r="R15" s="149"/>
      <c r="S15" s="149"/>
      <c r="T15" s="149"/>
      <c r="U15" s="149"/>
      <c r="V15" s="149"/>
    </row>
    <row r="16" spans="1:22" s="155" customFormat="1" ht="30" hidden="1" customHeight="1">
      <c r="A16" s="163" t="s">
        <v>124</v>
      </c>
      <c r="B16" s="163" t="s">
        <v>78</v>
      </c>
      <c r="C16" s="163" t="s">
        <v>311</v>
      </c>
      <c r="D16" s="163"/>
      <c r="E16" s="163" t="s">
        <v>295</v>
      </c>
      <c r="F16" s="139" t="s">
        <v>296</v>
      </c>
      <c r="G16" s="139">
        <v>1</v>
      </c>
      <c r="H16" s="163">
        <v>25011</v>
      </c>
      <c r="I16" s="140" t="str">
        <f>INDEX('6. data thông tin nhân sự'!C:C,MATCH('03. Chi tiết TS các bộ phận'!H16,'6. data thông tin nhân sự'!B:B,0))</f>
        <v>Lê Công Hoàng</v>
      </c>
      <c r="J16" s="140" t="str">
        <f>INDEX('6. data thông tin nhân sự'!G:G,MATCH('03. Chi tiết TS các bộ phận'!H16,'6. data thông tin nhân sự'!B:B,0))</f>
        <v>Sản xuất Video - Video Prodution</v>
      </c>
      <c r="K16" s="140" t="str">
        <f>INDEX('6. data thông tin nhân sự'!D:D,MATCH('03. Chi tiết TS các bộ phận'!H16,'6. data thông tin nhân sự'!B:B,0))</f>
        <v>Chính thức</v>
      </c>
      <c r="L16" s="727"/>
      <c r="M16" s="231">
        <v>46204</v>
      </c>
      <c r="N16" s="231">
        <v>45917</v>
      </c>
      <c r="O16" s="163" t="s">
        <v>298</v>
      </c>
      <c r="P16" s="738"/>
      <c r="Q16" s="149" t="s">
        <v>312</v>
      </c>
      <c r="R16" s="149"/>
      <c r="S16" s="149"/>
      <c r="T16" s="149"/>
      <c r="U16" s="149"/>
      <c r="V16" s="149"/>
    </row>
    <row r="17" spans="1:22" s="155" customFormat="1" ht="30" hidden="1" customHeight="1">
      <c r="A17" s="163" t="s">
        <v>131</v>
      </c>
      <c r="B17" s="163" t="s">
        <v>78</v>
      </c>
      <c r="C17" s="163" t="s">
        <v>311</v>
      </c>
      <c r="D17" s="163"/>
      <c r="E17" s="163" t="s">
        <v>295</v>
      </c>
      <c r="F17" s="139" t="s">
        <v>296</v>
      </c>
      <c r="G17" s="139">
        <v>1</v>
      </c>
      <c r="H17" s="163">
        <v>25011</v>
      </c>
      <c r="I17" s="140" t="str">
        <f>INDEX('6. data thông tin nhân sự'!C:C,MATCH('03. Chi tiết TS các bộ phận'!H17,'6. data thông tin nhân sự'!B:B,0))</f>
        <v>Lê Công Hoàng</v>
      </c>
      <c r="J17" s="140" t="str">
        <f>INDEX('6. data thông tin nhân sự'!G:G,MATCH('03. Chi tiết TS các bộ phận'!H17,'6. data thông tin nhân sự'!B:B,0))</f>
        <v>Sản xuất Video - Video Prodution</v>
      </c>
      <c r="K17" s="140" t="str">
        <f>INDEX('6. data thông tin nhân sự'!D:D,MATCH('03. Chi tiết TS các bộ phận'!H17,'6. data thông tin nhân sự'!B:B,0))</f>
        <v>Chính thức</v>
      </c>
      <c r="L17" s="727"/>
      <c r="M17" s="231">
        <v>46204</v>
      </c>
      <c r="N17" s="231">
        <v>45917</v>
      </c>
      <c r="O17" s="163" t="s">
        <v>298</v>
      </c>
      <c r="P17" s="738"/>
      <c r="Q17" s="149" t="s">
        <v>313</v>
      </c>
      <c r="R17" s="149"/>
      <c r="S17" s="149"/>
      <c r="T17" s="149"/>
      <c r="U17" s="149"/>
      <c r="V17" s="149"/>
    </row>
    <row r="18" spans="1:22" s="155" customFormat="1" ht="30" hidden="1" customHeight="1">
      <c r="A18" s="163" t="s">
        <v>314</v>
      </c>
      <c r="B18" s="163" t="s">
        <v>80</v>
      </c>
      <c r="C18" s="163"/>
      <c r="D18" s="163"/>
      <c r="E18" s="163" t="s">
        <v>295</v>
      </c>
      <c r="F18" s="139" t="s">
        <v>296</v>
      </c>
      <c r="G18" s="139">
        <v>1</v>
      </c>
      <c r="H18" s="163">
        <v>25011</v>
      </c>
      <c r="I18" s="140" t="str">
        <f>INDEX('6. data thông tin nhân sự'!C:C,MATCH('03. Chi tiết TS các bộ phận'!H18,'6. data thông tin nhân sự'!B:B,0))</f>
        <v>Lê Công Hoàng</v>
      </c>
      <c r="J18" s="140" t="str">
        <f>INDEX('6. data thông tin nhân sự'!G:G,MATCH('03. Chi tiết TS các bộ phận'!H18,'6. data thông tin nhân sự'!B:B,0))</f>
        <v>Sản xuất Video - Video Prodution</v>
      </c>
      <c r="K18" s="140" t="str">
        <f>INDEX('6. data thông tin nhân sự'!D:D,MATCH('03. Chi tiết TS các bộ phận'!H18,'6. data thông tin nhân sự'!B:B,0))</f>
        <v>Chính thức</v>
      </c>
      <c r="L18" s="727"/>
      <c r="M18" s="231">
        <v>46204</v>
      </c>
      <c r="N18" s="231" t="str">
        <f>INDEX('6. data thông tin nhân sự'!N:N, MATCH('03. Chi tiết TS các bộ phận'!H18, '6. data thông tin nhân sự'!B:B,0))</f>
        <v>12/05/2025</v>
      </c>
      <c r="O18" s="163" t="s">
        <v>298</v>
      </c>
      <c r="P18" s="454"/>
      <c r="Q18" s="149"/>
      <c r="R18" s="149"/>
      <c r="S18" s="149"/>
      <c r="T18" s="149"/>
      <c r="U18" s="149"/>
      <c r="V18" s="149"/>
    </row>
    <row r="19" spans="1:22" s="155" customFormat="1" ht="90.75" hidden="1" customHeight="1">
      <c r="A19" s="161" t="s">
        <v>315</v>
      </c>
      <c r="B19" s="161" t="s">
        <v>77</v>
      </c>
      <c r="C19" s="161"/>
      <c r="D19" s="236" t="s">
        <v>316</v>
      </c>
      <c r="E19" s="161" t="s">
        <v>295</v>
      </c>
      <c r="F19" s="162" t="s">
        <v>296</v>
      </c>
      <c r="G19" s="162">
        <v>1</v>
      </c>
      <c r="H19" s="161">
        <v>25032</v>
      </c>
      <c r="I19" s="166" t="str">
        <f>INDEX('6. data thông tin nhân sự'!C:C,MATCH('03. Chi tiết TS các bộ phận'!H19,'6. data thông tin nhân sự'!B:B,0))</f>
        <v>Nguyễn Ngọc Thắng</v>
      </c>
      <c r="J19" s="166" t="str">
        <f>INDEX('6. data thông tin nhân sự'!G:G,MATCH('03. Chi tiết TS các bộ phận'!H19,'6. data thông tin nhân sự'!B:B,0))</f>
        <v>Sản xuất Video - Video Prodution</v>
      </c>
      <c r="K19" s="166" t="str">
        <f>INDEX('6. data thông tin nhân sự'!D:D,MATCH('03. Chi tiết TS các bộ phận'!H19,'6. data thông tin nhân sự'!B:B,0))</f>
        <v>Chính thức</v>
      </c>
      <c r="L19" s="726" t="s">
        <v>317</v>
      </c>
      <c r="M19" s="228">
        <v>46204</v>
      </c>
      <c r="N19" s="228" t="str">
        <f>INDEX('6. data thông tin nhân sự'!N:N, MATCH('03. Chi tiết TS các bộ phận'!H19, '6. data thông tin nhân sự'!B:B,0))</f>
        <v>25/09/2025</v>
      </c>
      <c r="O19" s="161" t="s">
        <v>298</v>
      </c>
      <c r="P19" s="161"/>
      <c r="Q19" s="161"/>
      <c r="R19" s="229" t="s">
        <v>318</v>
      </c>
      <c r="S19" s="161"/>
      <c r="T19" s="161"/>
      <c r="U19" s="161"/>
      <c r="V19" s="161"/>
    </row>
    <row r="20" spans="1:22" s="155" customFormat="1" ht="30" hidden="1" customHeight="1">
      <c r="A20" s="161" t="s">
        <v>319</v>
      </c>
      <c r="B20" s="161" t="s">
        <v>78</v>
      </c>
      <c r="C20" s="161" t="s">
        <v>299</v>
      </c>
      <c r="D20" s="161"/>
      <c r="E20" s="161" t="s">
        <v>295</v>
      </c>
      <c r="F20" s="162" t="s">
        <v>296</v>
      </c>
      <c r="G20" s="162">
        <v>1</v>
      </c>
      <c r="H20" s="161">
        <v>25032</v>
      </c>
      <c r="I20" s="166" t="str">
        <f>INDEX('6. data thông tin nhân sự'!C:C,MATCH('03. Chi tiết TS các bộ phận'!H20,'6. data thông tin nhân sự'!B:B,0))</f>
        <v>Nguyễn Ngọc Thắng</v>
      </c>
      <c r="J20" s="166" t="str">
        <f>INDEX('6. data thông tin nhân sự'!G:G,MATCH('03. Chi tiết TS các bộ phận'!H20,'6. data thông tin nhân sự'!B:B,0))</f>
        <v>Sản xuất Video - Video Prodution</v>
      </c>
      <c r="K20" s="166" t="str">
        <f>INDEX('6. data thông tin nhân sự'!D:D,MATCH('03. Chi tiết TS các bộ phận'!H20,'6. data thông tin nhân sự'!B:B,0))</f>
        <v>Chính thức</v>
      </c>
      <c r="L20" s="726"/>
      <c r="M20" s="228">
        <v>46204</v>
      </c>
      <c r="N20" s="228" t="str">
        <f>INDEX('6. data thông tin nhân sự'!N:N, MATCH('03. Chi tiết TS các bộ phận'!H20, '6. data thông tin nhân sự'!B:B,0))</f>
        <v>25/09/2025</v>
      </c>
      <c r="O20" s="161" t="s">
        <v>298</v>
      </c>
      <c r="P20" s="161"/>
      <c r="Q20" s="161"/>
      <c r="R20" s="161"/>
      <c r="S20" s="161"/>
      <c r="T20" s="161"/>
      <c r="U20" s="161"/>
      <c r="V20" s="161"/>
    </row>
    <row r="21" spans="1:22" s="155" customFormat="1" ht="30" hidden="1" customHeight="1">
      <c r="A21" s="161" t="s">
        <v>132</v>
      </c>
      <c r="B21" s="161" t="s">
        <v>78</v>
      </c>
      <c r="C21" s="161" t="s">
        <v>299</v>
      </c>
      <c r="D21" s="161"/>
      <c r="E21" s="161" t="s">
        <v>295</v>
      </c>
      <c r="F21" s="162" t="s">
        <v>296</v>
      </c>
      <c r="G21" s="162">
        <v>1</v>
      </c>
      <c r="H21" s="161">
        <v>25032</v>
      </c>
      <c r="I21" s="166" t="str">
        <f>INDEX('6. data thông tin nhân sự'!C:C,MATCH('03. Chi tiết TS các bộ phận'!H21,'6. data thông tin nhân sự'!B:B,0))</f>
        <v>Nguyễn Ngọc Thắng</v>
      </c>
      <c r="J21" s="166" t="str">
        <f>INDEX('6. data thông tin nhân sự'!G:G,MATCH('03. Chi tiết TS các bộ phận'!H21,'6. data thông tin nhân sự'!B:B,0))</f>
        <v>Sản xuất Video - Video Prodution</v>
      </c>
      <c r="K21" s="166" t="str">
        <f>INDEX('6. data thông tin nhân sự'!D:D,MATCH('03. Chi tiết TS các bộ phận'!H21,'6. data thông tin nhân sự'!B:B,0))</f>
        <v>Chính thức</v>
      </c>
      <c r="L21" s="726"/>
      <c r="M21" s="228">
        <v>46204</v>
      </c>
      <c r="N21" s="228" t="str">
        <f>INDEX('6. data thông tin nhân sự'!N:N, MATCH('03. Chi tiết TS các bộ phận'!H21, '6. data thông tin nhân sự'!B:B,0))</f>
        <v>25/09/2025</v>
      </c>
      <c r="O21" s="161" t="s">
        <v>298</v>
      </c>
      <c r="P21" s="455" t="s">
        <v>121</v>
      </c>
      <c r="Q21" s="161" t="s">
        <v>320</v>
      </c>
      <c r="R21" s="161"/>
      <c r="S21" s="161"/>
      <c r="T21" s="161"/>
      <c r="U21" s="161"/>
      <c r="V21" s="161"/>
    </row>
    <row r="22" spans="1:22" s="155" customFormat="1" ht="30" hidden="1" customHeight="1">
      <c r="A22" s="161" t="s">
        <v>321</v>
      </c>
      <c r="B22" s="161" t="s">
        <v>80</v>
      </c>
      <c r="C22" s="161" t="s">
        <v>299</v>
      </c>
      <c r="D22" s="161"/>
      <c r="E22" s="161" t="s">
        <v>295</v>
      </c>
      <c r="F22" s="162" t="s">
        <v>296</v>
      </c>
      <c r="G22" s="162">
        <v>1</v>
      </c>
      <c r="H22" s="161">
        <v>25032</v>
      </c>
      <c r="I22" s="166" t="str">
        <f>INDEX('6. data thông tin nhân sự'!C:C,MATCH('03. Chi tiết TS các bộ phận'!H22,'6. data thông tin nhân sự'!B:B,0))</f>
        <v>Nguyễn Ngọc Thắng</v>
      </c>
      <c r="J22" s="166" t="str">
        <f>INDEX('6. data thông tin nhân sự'!G:G,MATCH('03. Chi tiết TS các bộ phận'!H22,'6. data thông tin nhân sự'!B:B,0))</f>
        <v>Sản xuất Video - Video Prodution</v>
      </c>
      <c r="K22" s="166" t="str">
        <f>INDEX('6. data thông tin nhân sự'!D:D,MATCH('03. Chi tiết TS các bộ phận'!H22,'6. data thông tin nhân sự'!B:B,0))</f>
        <v>Chính thức</v>
      </c>
      <c r="L22" s="726"/>
      <c r="M22" s="228">
        <v>46204</v>
      </c>
      <c r="N22" s="228" t="str">
        <f>INDEX('6. data thông tin nhân sự'!N:N, MATCH('03. Chi tiết TS các bộ phận'!H22, '6. data thông tin nhân sự'!B:B,0))</f>
        <v>25/09/2025</v>
      </c>
      <c r="O22" s="161" t="s">
        <v>298</v>
      </c>
      <c r="P22" s="161"/>
      <c r="Q22" s="161"/>
      <c r="R22" s="161"/>
      <c r="S22" s="161"/>
      <c r="T22" s="161"/>
      <c r="U22" s="161"/>
      <c r="V22" s="161"/>
    </row>
    <row r="23" spans="1:22" s="155" customFormat="1" ht="62.25" hidden="1" customHeight="1">
      <c r="A23" s="156" t="s">
        <v>322</v>
      </c>
      <c r="B23" s="161" t="s">
        <v>81</v>
      </c>
      <c r="C23" s="161"/>
      <c r="D23" s="236" t="s">
        <v>323</v>
      </c>
      <c r="E23" s="161" t="s">
        <v>295</v>
      </c>
      <c r="F23" s="162" t="s">
        <v>296</v>
      </c>
      <c r="G23" s="162">
        <v>1</v>
      </c>
      <c r="H23" s="161">
        <v>25032</v>
      </c>
      <c r="I23" s="166" t="str">
        <f>INDEX('6. data thông tin nhân sự'!C:C,MATCH('03. Chi tiết TS các bộ phận'!H23,'6. data thông tin nhân sự'!B:B,0))</f>
        <v>Nguyễn Ngọc Thắng</v>
      </c>
      <c r="J23" s="166" t="str">
        <f>INDEX('6. data thông tin nhân sự'!G:G,MATCH('03. Chi tiết TS các bộ phận'!H23,'6. data thông tin nhân sự'!B:B,0))</f>
        <v>Sản xuất Video - Video Prodution</v>
      </c>
      <c r="K23" s="166" t="str">
        <f>INDEX('6. data thông tin nhân sự'!D:D,MATCH('03. Chi tiết TS các bộ phận'!H23,'6. data thông tin nhân sự'!B:B,0))</f>
        <v>Chính thức</v>
      </c>
      <c r="L23" s="726"/>
      <c r="M23" s="228">
        <v>46204</v>
      </c>
      <c r="N23" s="228">
        <v>46050</v>
      </c>
      <c r="O23" s="161" t="s">
        <v>298</v>
      </c>
      <c r="P23" s="721"/>
      <c r="Q23" s="161" t="s">
        <v>324</v>
      </c>
      <c r="R23" s="161"/>
      <c r="S23" s="161"/>
      <c r="T23" s="161"/>
      <c r="U23" s="161"/>
      <c r="V23" s="161"/>
    </row>
    <row r="24" spans="1:22" s="155" customFormat="1" ht="51" hidden="1" customHeight="1">
      <c r="A24" s="156" t="s">
        <v>322</v>
      </c>
      <c r="B24" s="161" t="s">
        <v>81</v>
      </c>
      <c r="C24" s="161"/>
      <c r="D24" s="236" t="s">
        <v>325</v>
      </c>
      <c r="E24" s="161" t="s">
        <v>295</v>
      </c>
      <c r="F24" s="162" t="s">
        <v>296</v>
      </c>
      <c r="G24" s="162">
        <v>1</v>
      </c>
      <c r="H24" s="161">
        <v>25032</v>
      </c>
      <c r="I24" s="166" t="str">
        <f>INDEX('6. data thông tin nhân sự'!C:C,MATCH('03. Chi tiết TS các bộ phận'!H24,'6. data thông tin nhân sự'!B:B,0))</f>
        <v>Nguyễn Ngọc Thắng</v>
      </c>
      <c r="J24" s="166" t="str">
        <f>INDEX('6. data thông tin nhân sự'!G:G,MATCH('03. Chi tiết TS các bộ phận'!H24,'6. data thông tin nhân sự'!B:B,0))</f>
        <v>Sản xuất Video - Video Prodution</v>
      </c>
      <c r="K24" s="166" t="str">
        <f>INDEX('6. data thông tin nhân sự'!D:D,MATCH('03. Chi tiết TS các bộ phận'!H24,'6. data thông tin nhân sự'!B:B,0))</f>
        <v>Chính thức</v>
      </c>
      <c r="L24" s="726"/>
      <c r="M24" s="228">
        <v>46204</v>
      </c>
      <c r="N24" s="228">
        <v>46050</v>
      </c>
      <c r="O24" s="161" t="s">
        <v>298</v>
      </c>
      <c r="P24" s="722"/>
      <c r="Q24" s="161" t="s">
        <v>324</v>
      </c>
      <c r="R24" s="161"/>
      <c r="S24" s="161"/>
      <c r="T24" s="161"/>
      <c r="U24" s="161"/>
      <c r="V24" s="161"/>
    </row>
    <row r="25" spans="1:22" s="155" customFormat="1" ht="52.5" hidden="1" customHeight="1">
      <c r="A25" s="156" t="s">
        <v>322</v>
      </c>
      <c r="B25" s="161" t="s">
        <v>326</v>
      </c>
      <c r="C25" s="161"/>
      <c r="D25" s="161"/>
      <c r="E25" s="161" t="s">
        <v>295</v>
      </c>
      <c r="F25" s="162" t="s">
        <v>296</v>
      </c>
      <c r="G25" s="162">
        <v>1</v>
      </c>
      <c r="H25" s="161">
        <v>25032</v>
      </c>
      <c r="I25" s="166" t="str">
        <f>INDEX('6. data thông tin nhân sự'!C:C,MATCH('03. Chi tiết TS các bộ phận'!H25,'6. data thông tin nhân sự'!B:B,0))</f>
        <v>Nguyễn Ngọc Thắng</v>
      </c>
      <c r="J25" s="166" t="str">
        <f>INDEX('6. data thông tin nhân sự'!G:G,MATCH('03. Chi tiết TS các bộ phận'!H25,'6. data thông tin nhân sự'!B:B,0))</f>
        <v>Sản xuất Video - Video Prodution</v>
      </c>
      <c r="K25" s="166" t="str">
        <f>INDEX('6. data thông tin nhân sự'!D:D,MATCH('03. Chi tiết TS các bộ phận'!H25,'6. data thông tin nhân sự'!B:B,0))</f>
        <v>Chính thức</v>
      </c>
      <c r="L25" s="726"/>
      <c r="M25" s="228">
        <v>46204</v>
      </c>
      <c r="N25" s="228">
        <v>46050</v>
      </c>
      <c r="O25" s="161" t="s">
        <v>298</v>
      </c>
      <c r="P25" s="723"/>
      <c r="Q25" s="229" t="s">
        <v>327</v>
      </c>
      <c r="R25" s="161"/>
      <c r="S25" s="161"/>
      <c r="T25" s="161"/>
      <c r="U25" s="161"/>
      <c r="V25" s="161"/>
    </row>
    <row r="26" spans="1:22" s="155" customFormat="1" ht="39.75" hidden="1" customHeight="1">
      <c r="A26" s="163" t="s">
        <v>328</v>
      </c>
      <c r="B26" s="163" t="s">
        <v>78</v>
      </c>
      <c r="C26" s="163" t="s">
        <v>311</v>
      </c>
      <c r="D26" s="163"/>
      <c r="E26" s="163" t="s">
        <v>295</v>
      </c>
      <c r="F26" s="139" t="s">
        <v>296</v>
      </c>
      <c r="G26" s="139">
        <v>1</v>
      </c>
      <c r="H26" s="163">
        <v>25045</v>
      </c>
      <c r="I26" s="140" t="str">
        <f>INDEX('6. data thông tin nhân sự'!C:C,MATCH('03. Chi tiết TS các bộ phận'!H26,'6. data thông tin nhân sự'!B:B,0))</f>
        <v>Nguyễn Anh Tuấn</v>
      </c>
      <c r="J26" s="140" t="str">
        <f>INDEX('6. data thông tin nhân sự'!G:G,MATCH('03. Chi tiết TS các bộ phận'!H26,'6. data thông tin nhân sự'!B:B,0))</f>
        <v>Sản xuất Video - Video Prodution</v>
      </c>
      <c r="K26" s="140" t="str">
        <f>INDEX('6. data thông tin nhân sự'!D:D,MATCH('03. Chi tiết TS các bộ phận'!H26,'6. data thông tin nhân sự'!B:B,0))</f>
        <v>Chính thức</v>
      </c>
      <c r="L26" s="718" t="s">
        <v>329</v>
      </c>
      <c r="M26" s="231">
        <v>46204</v>
      </c>
      <c r="N26" s="231" t="str">
        <f>INDEX('6. data thông tin nhân sự'!N:N, MATCH('03. Chi tiết TS các bộ phận'!H26, '6. data thông tin nhân sự'!B:B,0))</f>
        <v>16/12/2025</v>
      </c>
      <c r="O26" s="163" t="s">
        <v>298</v>
      </c>
      <c r="P26" s="522" t="s">
        <v>330</v>
      </c>
      <c r="Q26" s="165"/>
      <c r="R26" s="179" t="s">
        <v>331</v>
      </c>
      <c r="S26" s="165"/>
      <c r="T26" s="165"/>
      <c r="U26" s="165"/>
      <c r="V26" s="165"/>
    </row>
    <row r="27" spans="1:22" s="155" customFormat="1" ht="39.75" hidden="1" customHeight="1">
      <c r="A27" s="163" t="s">
        <v>332</v>
      </c>
      <c r="B27" s="163" t="s">
        <v>78</v>
      </c>
      <c r="C27" s="163" t="s">
        <v>311</v>
      </c>
      <c r="D27" s="163"/>
      <c r="E27" s="163" t="s">
        <v>295</v>
      </c>
      <c r="F27" s="139" t="s">
        <v>296</v>
      </c>
      <c r="G27" s="139">
        <v>1</v>
      </c>
      <c r="H27" s="163">
        <v>25045</v>
      </c>
      <c r="I27" s="140" t="str">
        <f>INDEX('6. data thông tin nhân sự'!C:C,MATCH('03. Chi tiết TS các bộ phận'!H27,'6. data thông tin nhân sự'!B:B,0))</f>
        <v>Nguyễn Anh Tuấn</v>
      </c>
      <c r="J27" s="140" t="str">
        <f>INDEX('6. data thông tin nhân sự'!G:G,MATCH('03. Chi tiết TS các bộ phận'!H27,'6. data thông tin nhân sự'!B:B,0))</f>
        <v>Sản xuất Video - Video Prodution</v>
      </c>
      <c r="K27" s="140" t="str">
        <f>INDEX('6. data thông tin nhân sự'!D:D,MATCH('03. Chi tiết TS các bộ phận'!H27,'6. data thông tin nhân sự'!B:B,0))</f>
        <v>Chính thức</v>
      </c>
      <c r="L27" s="719"/>
      <c r="M27" s="231">
        <v>46204</v>
      </c>
      <c r="N27" s="231" t="str">
        <f>INDEX('6. data thông tin nhân sự'!N:N, MATCH('03. Chi tiết TS các bộ phận'!H27, '6. data thông tin nhân sự'!B:B,0))</f>
        <v>16/12/2025</v>
      </c>
      <c r="O27" s="163" t="s">
        <v>298</v>
      </c>
      <c r="P27" s="522"/>
      <c r="Q27" s="165"/>
      <c r="R27" s="179" t="s">
        <v>331</v>
      </c>
      <c r="S27" s="165"/>
      <c r="T27" s="165"/>
      <c r="U27" s="165"/>
      <c r="V27" s="165"/>
    </row>
    <row r="28" spans="1:22" s="155" customFormat="1" ht="68.25" hidden="1" customHeight="1">
      <c r="A28" s="163" t="s">
        <v>147</v>
      </c>
      <c r="B28" s="163" t="s">
        <v>77</v>
      </c>
      <c r="C28" s="163"/>
      <c r="D28" s="252" t="s">
        <v>333</v>
      </c>
      <c r="E28" s="163" t="s">
        <v>295</v>
      </c>
      <c r="F28" s="139" t="s">
        <v>296</v>
      </c>
      <c r="G28" s="139">
        <v>1</v>
      </c>
      <c r="H28" s="163">
        <v>25045</v>
      </c>
      <c r="I28" s="140" t="str">
        <f>INDEX('6. data thông tin nhân sự'!C:C,MATCH('03. Chi tiết TS các bộ phận'!H28,'6. data thông tin nhân sự'!B:B,0))</f>
        <v>Nguyễn Anh Tuấn</v>
      </c>
      <c r="J28" s="140" t="str">
        <f>INDEX('6. data thông tin nhân sự'!G:G,MATCH('03. Chi tiết TS các bộ phận'!H28,'6. data thông tin nhân sự'!B:B,0))</f>
        <v>Sản xuất Video - Video Prodution</v>
      </c>
      <c r="K28" s="140" t="str">
        <f>INDEX('6. data thông tin nhân sự'!D:D,MATCH('03. Chi tiết TS các bộ phận'!H28,'6. data thông tin nhân sự'!B:B,0))</f>
        <v>Chính thức</v>
      </c>
      <c r="L28" s="719"/>
      <c r="M28" s="231">
        <v>46204</v>
      </c>
      <c r="N28" s="231" t="str">
        <f>INDEX('6. data thông tin nhân sự'!N:N, MATCH('03. Chi tiết TS các bộ phận'!H28, '6. data thông tin nhân sự'!B:B,0))</f>
        <v>16/12/2025</v>
      </c>
      <c r="O28" s="163" t="s">
        <v>298</v>
      </c>
      <c r="P28" s="522"/>
      <c r="Q28" s="149"/>
      <c r="R28" s="149"/>
      <c r="S28" s="149"/>
      <c r="T28" s="149"/>
      <c r="U28" s="149"/>
      <c r="V28" s="149"/>
    </row>
    <row r="29" spans="1:22" s="155" customFormat="1" ht="33" hidden="1" customHeight="1">
      <c r="A29" s="163" t="s">
        <v>148</v>
      </c>
      <c r="B29" s="163" t="s">
        <v>80</v>
      </c>
      <c r="C29" s="163"/>
      <c r="D29" s="163"/>
      <c r="E29" s="163" t="s">
        <v>295</v>
      </c>
      <c r="F29" s="139" t="s">
        <v>296</v>
      </c>
      <c r="G29" s="139">
        <v>1</v>
      </c>
      <c r="H29" s="163">
        <v>25045</v>
      </c>
      <c r="I29" s="140" t="str">
        <f>INDEX('6. data thông tin nhân sự'!C:C,MATCH('03. Chi tiết TS các bộ phận'!H29,'6. data thông tin nhân sự'!B:B,0))</f>
        <v>Nguyễn Anh Tuấn</v>
      </c>
      <c r="J29" s="140" t="str">
        <f>INDEX('6. data thông tin nhân sự'!G:G,MATCH('03. Chi tiết TS các bộ phận'!H29,'6. data thông tin nhân sự'!B:B,0))</f>
        <v>Sản xuất Video - Video Prodution</v>
      </c>
      <c r="K29" s="140" t="str">
        <f>INDEX('6. data thông tin nhân sự'!D:D,MATCH('03. Chi tiết TS các bộ phận'!H29,'6. data thông tin nhân sự'!B:B,0))</f>
        <v>Chính thức</v>
      </c>
      <c r="L29" s="719"/>
      <c r="M29" s="231">
        <v>46204</v>
      </c>
      <c r="N29" s="231" t="str">
        <f>INDEX('6. data thông tin nhân sự'!N:N, MATCH('03. Chi tiết TS các bộ phận'!H29, '6. data thông tin nhân sự'!B:B,0))</f>
        <v>16/12/2025</v>
      </c>
      <c r="O29" s="163" t="s">
        <v>298</v>
      </c>
      <c r="P29" s="522"/>
      <c r="Q29" s="149"/>
      <c r="R29" s="149"/>
      <c r="S29" s="149"/>
      <c r="T29" s="149"/>
      <c r="U29" s="149"/>
      <c r="V29" s="149"/>
    </row>
    <row r="30" spans="1:22" s="155" customFormat="1" ht="33" customHeight="1">
      <c r="A30" s="163" t="s">
        <v>149</v>
      </c>
      <c r="B30" s="163" t="s">
        <v>79</v>
      </c>
      <c r="C30" s="163"/>
      <c r="D30" s="163"/>
      <c r="E30" s="163" t="s">
        <v>295</v>
      </c>
      <c r="F30" s="139" t="s">
        <v>296</v>
      </c>
      <c r="G30" s="139">
        <v>1</v>
      </c>
      <c r="H30" s="163">
        <v>25045</v>
      </c>
      <c r="I30" s="140" t="str">
        <f>INDEX('6. data thông tin nhân sự'!C:C,MATCH('03. Chi tiết TS các bộ phận'!H30,'6. data thông tin nhân sự'!B:B,0))</f>
        <v>Nguyễn Anh Tuấn</v>
      </c>
      <c r="J30" s="140" t="str">
        <f>INDEX('6. data thông tin nhân sự'!G:G,MATCH('03. Chi tiết TS các bộ phận'!H30,'6. data thông tin nhân sự'!B:B,0))</f>
        <v>Sản xuất Video - Video Prodution</v>
      </c>
      <c r="K30" s="140" t="str">
        <f>INDEX('6. data thông tin nhân sự'!D:D,MATCH('03. Chi tiết TS các bộ phận'!H30,'6. data thông tin nhân sự'!B:B,0))</f>
        <v>Chính thức</v>
      </c>
      <c r="L30" s="720"/>
      <c r="M30" s="231">
        <v>46204</v>
      </c>
      <c r="N30" s="231" t="str">
        <f>INDEX('6. data thông tin nhân sự'!N:N, MATCH('03. Chi tiết TS các bộ phận'!H30, '6. data thông tin nhân sự'!B:B,0))</f>
        <v>16/12/2025</v>
      </c>
      <c r="O30" s="163" t="s">
        <v>298</v>
      </c>
      <c r="P30" s="522"/>
      <c r="Q30" s="149"/>
      <c r="R30" s="149"/>
      <c r="S30" s="149"/>
      <c r="T30" s="149"/>
      <c r="U30" s="149"/>
      <c r="V30" s="149"/>
    </row>
    <row r="31" spans="1:22" s="155" customFormat="1" ht="91.5" hidden="1" customHeight="1">
      <c r="A31" s="161" t="s">
        <v>153</v>
      </c>
      <c r="B31" s="161" t="s">
        <v>77</v>
      </c>
      <c r="C31" s="161"/>
      <c r="D31" s="236" t="s">
        <v>334</v>
      </c>
      <c r="E31" s="161" t="s">
        <v>295</v>
      </c>
      <c r="F31" s="162" t="s">
        <v>296</v>
      </c>
      <c r="G31" s="162">
        <v>1</v>
      </c>
      <c r="H31" s="161">
        <v>25046</v>
      </c>
      <c r="I31" s="166" t="str">
        <f>INDEX('6. data thông tin nhân sự'!C:C,MATCH('03. Chi tiết TS các bộ phận'!H31,'6. data thông tin nhân sự'!B:B,0))</f>
        <v>Phùng Vân Anh</v>
      </c>
      <c r="J31" s="166" t="str">
        <f>INDEX('6. data thông tin nhân sự'!G:G,MATCH('03. Chi tiết TS các bộ phận'!H31,'6. data thông tin nhân sự'!B:B,0))</f>
        <v>Sản xuất Video - Video Prodution</v>
      </c>
      <c r="K31" s="166" t="str">
        <f>INDEX('6. data thông tin nhân sự'!D:D,MATCH('03. Chi tiết TS các bộ phận'!H31,'6. data thông tin nhân sự'!B:B,0))</f>
        <v>Chính thức</v>
      </c>
      <c r="L31" s="726" t="s">
        <v>335</v>
      </c>
      <c r="M31" s="228">
        <v>46204</v>
      </c>
      <c r="N31" s="228" t="str">
        <f>INDEX('6. data thông tin nhân sự'!N:N, MATCH('03. Chi tiết TS các bộ phận'!H31, '6. data thông tin nhân sự'!B:B,0))</f>
        <v>16/12/2025</v>
      </c>
      <c r="O31" s="161" t="s">
        <v>298</v>
      </c>
      <c r="P31" s="161"/>
      <c r="Q31" s="161"/>
      <c r="R31" s="161"/>
      <c r="S31" s="161"/>
      <c r="T31" s="161"/>
      <c r="U31" s="161"/>
      <c r="V31" s="161"/>
    </row>
    <row r="32" spans="1:22" s="155" customFormat="1" ht="41.25" hidden="1" customHeight="1">
      <c r="A32" s="161" t="s">
        <v>336</v>
      </c>
      <c r="B32" s="161" t="s">
        <v>78</v>
      </c>
      <c r="C32" s="161" t="s">
        <v>337</v>
      </c>
      <c r="D32" s="161"/>
      <c r="E32" s="161" t="s">
        <v>295</v>
      </c>
      <c r="F32" s="162" t="s">
        <v>296</v>
      </c>
      <c r="G32" s="162">
        <v>1</v>
      </c>
      <c r="H32" s="161">
        <v>25046</v>
      </c>
      <c r="I32" s="166" t="str">
        <f>INDEX('6. data thông tin nhân sự'!C:C,MATCH('03. Chi tiết TS các bộ phận'!H32,'6. data thông tin nhân sự'!B:B,0))</f>
        <v>Phùng Vân Anh</v>
      </c>
      <c r="J32" s="166" t="str">
        <f>INDEX('6. data thông tin nhân sự'!G:G,MATCH('03. Chi tiết TS các bộ phận'!H32,'6. data thông tin nhân sự'!B:B,0))</f>
        <v>Sản xuất Video - Video Prodution</v>
      </c>
      <c r="K32" s="166" t="str">
        <f>INDEX('6. data thông tin nhân sự'!D:D,MATCH('03. Chi tiết TS các bộ phận'!H32,'6. data thông tin nhân sự'!B:B,0))</f>
        <v>Chính thức</v>
      </c>
      <c r="L32" s="726"/>
      <c r="M32" s="228">
        <v>46204</v>
      </c>
      <c r="N32" s="228" t="str">
        <f>INDEX('6. data thông tin nhân sự'!N:N, MATCH('03. Chi tiết TS các bộ phận'!H32, '6. data thông tin nhân sự'!B:B,0))</f>
        <v>16/12/2025</v>
      </c>
      <c r="O32" s="161" t="s">
        <v>298</v>
      </c>
      <c r="P32" s="161"/>
      <c r="Q32" s="161"/>
      <c r="R32" s="229" t="s">
        <v>338</v>
      </c>
      <c r="S32" s="161"/>
      <c r="T32" s="161"/>
      <c r="U32" s="161"/>
      <c r="V32" s="161"/>
    </row>
    <row r="33" spans="1:22" s="155" customFormat="1" ht="41.25" hidden="1" customHeight="1">
      <c r="A33" s="161" t="s">
        <v>339</v>
      </c>
      <c r="B33" s="161" t="s">
        <v>78</v>
      </c>
      <c r="C33" s="161" t="s">
        <v>337</v>
      </c>
      <c r="D33" s="161"/>
      <c r="E33" s="161" t="s">
        <v>295</v>
      </c>
      <c r="F33" s="162" t="s">
        <v>296</v>
      </c>
      <c r="G33" s="162">
        <v>1</v>
      </c>
      <c r="H33" s="161">
        <v>25046</v>
      </c>
      <c r="I33" s="166" t="str">
        <f>INDEX('6. data thông tin nhân sự'!C:C,MATCH('03. Chi tiết TS các bộ phận'!H33,'6. data thông tin nhân sự'!B:B,0))</f>
        <v>Phùng Vân Anh</v>
      </c>
      <c r="J33" s="166" t="str">
        <f>INDEX('6. data thông tin nhân sự'!G:G,MATCH('03. Chi tiết TS các bộ phận'!H33,'6. data thông tin nhân sự'!B:B,0))</f>
        <v>Sản xuất Video - Video Prodution</v>
      </c>
      <c r="K33" s="166" t="str">
        <f>INDEX('6. data thông tin nhân sự'!D:D,MATCH('03. Chi tiết TS các bộ phận'!H33,'6. data thông tin nhân sự'!B:B,0))</f>
        <v>Chính thức</v>
      </c>
      <c r="L33" s="726"/>
      <c r="M33" s="228">
        <v>46204</v>
      </c>
      <c r="N33" s="228" t="str">
        <f>INDEX('6. data thông tin nhân sự'!N:N, MATCH('03. Chi tiết TS các bộ phận'!H33, '6. data thông tin nhân sự'!B:B,0))</f>
        <v>16/12/2025</v>
      </c>
      <c r="O33" s="161" t="s">
        <v>298</v>
      </c>
      <c r="P33" s="161"/>
      <c r="Q33" s="161"/>
      <c r="R33" s="229" t="s">
        <v>340</v>
      </c>
      <c r="S33" s="229" t="s">
        <v>341</v>
      </c>
      <c r="T33" s="161"/>
      <c r="U33" s="161"/>
      <c r="V33" s="161"/>
    </row>
    <row r="34" spans="1:22" s="155" customFormat="1" ht="88.5" hidden="1" customHeight="1"/>
    <row r="35" spans="1:22" s="155" customFormat="1" ht="38.25" hidden="1" customHeight="1"/>
    <row r="36" spans="1:22" s="155" customFormat="1" ht="27.75" hidden="1" customHeight="1">
      <c r="A36" s="157" t="s">
        <v>342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59"/>
      <c r="O36" s="158"/>
      <c r="P36" s="158"/>
      <c r="Q36" s="158"/>
      <c r="R36" s="189"/>
      <c r="S36" s="189"/>
      <c r="T36" s="189"/>
      <c r="U36" s="189"/>
      <c r="V36" s="189"/>
    </row>
    <row r="37" spans="1:22" s="155" customFormat="1" ht="27.75" hidden="1" customHeight="1">
      <c r="A37" s="166" t="s">
        <v>343</v>
      </c>
      <c r="B37" s="166" t="s">
        <v>81</v>
      </c>
      <c r="C37" s="161"/>
      <c r="D37" s="166" t="s">
        <v>344</v>
      </c>
      <c r="E37" s="166" t="s">
        <v>345</v>
      </c>
      <c r="F37" s="162" t="s">
        <v>346</v>
      </c>
      <c r="G37" s="162">
        <v>1</v>
      </c>
      <c r="H37" s="161">
        <v>20002</v>
      </c>
      <c r="I37" s="166" t="str">
        <f>INDEX('6. data thông tin nhân sự'!C:C,MATCH('03. Chi tiết TS các bộ phận'!H37,'6. data thông tin nhân sự'!B:B,0))</f>
        <v>Đào Thị Thùy</v>
      </c>
      <c r="J37" s="166" t="str">
        <f>INDEX('6. data thông tin nhân sự'!G:G,MATCH('03. Chi tiết TS các bộ phận'!H37,'6. data thông tin nhân sự'!B:B,0))</f>
        <v>Truyền thông - Marketing</v>
      </c>
      <c r="K37" s="166" t="str">
        <f>INDEX('6. data thông tin nhân sự'!D:D,MATCH('03. Chi tiết TS các bộ phận'!H37,'6. data thông tin nhân sự'!B:B,0))</f>
        <v>Chính thức</v>
      </c>
      <c r="L37" s="721" t="s">
        <v>347</v>
      </c>
      <c r="M37" s="228">
        <v>46204</v>
      </c>
      <c r="N37" s="228" t="str">
        <f>INDEX('6. data thông tin nhân sự'!N:N, MATCH('03. Chi tiết TS các bộ phận'!H37, '6. data thông tin nhân sự'!B:B,0))</f>
        <v>25/05/2020</v>
      </c>
      <c r="O37" s="166" t="s">
        <v>298</v>
      </c>
      <c r="P37" s="166"/>
      <c r="Q37" s="166"/>
      <c r="R37" s="230" t="s">
        <v>348</v>
      </c>
      <c r="S37" s="166"/>
      <c r="T37" s="166"/>
      <c r="U37" s="166"/>
      <c r="V37" s="166"/>
    </row>
    <row r="38" spans="1:22" s="155" customFormat="1" ht="79.5" hidden="1" customHeight="1">
      <c r="A38" s="161" t="s">
        <v>194</v>
      </c>
      <c r="B38" s="161" t="s">
        <v>77</v>
      </c>
      <c r="C38" s="161"/>
      <c r="D38" s="236" t="s">
        <v>349</v>
      </c>
      <c r="E38" s="161" t="s">
        <v>345</v>
      </c>
      <c r="F38" s="162" t="s">
        <v>296</v>
      </c>
      <c r="G38" s="162">
        <v>1</v>
      </c>
      <c r="H38" s="161">
        <v>20002</v>
      </c>
      <c r="I38" s="166" t="str">
        <f>INDEX('6. data thông tin nhân sự'!C:C,MATCH('03. Chi tiết TS các bộ phận'!H38,'6. data thông tin nhân sự'!B:B,0))</f>
        <v>Đào Thị Thùy</v>
      </c>
      <c r="J38" s="166" t="str">
        <f>INDEX('6. data thông tin nhân sự'!G:G,MATCH('03. Chi tiết TS các bộ phận'!H38,'6. data thông tin nhân sự'!B:B,0))</f>
        <v>Truyền thông - Marketing</v>
      </c>
      <c r="K38" s="166" t="str">
        <f>INDEX('6. data thông tin nhân sự'!D:D,MATCH('03. Chi tiết TS các bộ phận'!H38,'6. data thông tin nhân sự'!B:B,0))</f>
        <v>Chính thức</v>
      </c>
      <c r="L38" s="722"/>
      <c r="M38" s="228">
        <v>45839</v>
      </c>
      <c r="N38" s="228" t="str">
        <f>INDEX('6. data thông tin nhân sự'!N:N, MATCH('03. Chi tiết TS các bộ phận'!H38, '6. data thông tin nhân sự'!B:B,0))</f>
        <v>25/05/2020</v>
      </c>
      <c r="O38" s="161" t="s">
        <v>298</v>
      </c>
      <c r="P38" s="161"/>
      <c r="Q38" s="161"/>
      <c r="R38" s="161"/>
      <c r="S38" s="161"/>
      <c r="T38" s="161"/>
      <c r="U38" s="161"/>
      <c r="V38" s="161"/>
    </row>
    <row r="39" spans="1:22" s="155" customFormat="1" ht="27.75" hidden="1" customHeight="1">
      <c r="A39" s="161" t="s">
        <v>350</v>
      </c>
      <c r="B39" s="161" t="s">
        <v>78</v>
      </c>
      <c r="C39" s="161" t="s">
        <v>299</v>
      </c>
      <c r="D39" s="161"/>
      <c r="E39" s="161" t="s">
        <v>345</v>
      </c>
      <c r="F39" s="162" t="s">
        <v>296</v>
      </c>
      <c r="G39" s="162">
        <v>1</v>
      </c>
      <c r="H39" s="161">
        <v>20002</v>
      </c>
      <c r="I39" s="166" t="str">
        <f>INDEX('6. data thông tin nhân sự'!C:C,MATCH('03. Chi tiết TS các bộ phận'!H39,'6. data thông tin nhân sự'!B:B,0))</f>
        <v>Đào Thị Thùy</v>
      </c>
      <c r="J39" s="166" t="str">
        <f>INDEX('6. data thông tin nhân sự'!G:G,MATCH('03. Chi tiết TS các bộ phận'!H39,'6. data thông tin nhân sự'!B:B,0))</f>
        <v>Truyền thông - Marketing</v>
      </c>
      <c r="K39" s="166" t="str">
        <f>INDEX('6. data thông tin nhân sự'!D:D,MATCH('03. Chi tiết TS các bộ phận'!H39,'6. data thông tin nhân sự'!B:B,0))</f>
        <v>Chính thức</v>
      </c>
      <c r="L39" s="722"/>
      <c r="M39" s="228">
        <v>45839</v>
      </c>
      <c r="N39" s="228" t="str">
        <f>INDEX('6. data thông tin nhân sự'!N:N, MATCH('03. Chi tiết TS các bộ phận'!H39, '6. data thông tin nhân sự'!B:B,0))</f>
        <v>25/05/2020</v>
      </c>
      <c r="O39" s="161" t="s">
        <v>298</v>
      </c>
      <c r="P39" s="161"/>
      <c r="Q39" s="161"/>
      <c r="R39" s="161"/>
      <c r="S39" s="161"/>
      <c r="T39" s="161"/>
      <c r="U39" s="161"/>
      <c r="V39" s="161"/>
    </row>
    <row r="40" spans="1:22" s="155" customFormat="1" ht="27.75" hidden="1" customHeight="1">
      <c r="A40" s="161" t="s">
        <v>351</v>
      </c>
      <c r="B40" s="161" t="s">
        <v>80</v>
      </c>
      <c r="C40" s="161" t="s">
        <v>299</v>
      </c>
      <c r="D40" s="161"/>
      <c r="E40" s="161" t="s">
        <v>345</v>
      </c>
      <c r="F40" s="162" t="s">
        <v>296</v>
      </c>
      <c r="G40" s="162">
        <v>1</v>
      </c>
      <c r="H40" s="161">
        <v>20002</v>
      </c>
      <c r="I40" s="166" t="str">
        <f>INDEX('6. data thông tin nhân sự'!C:C,MATCH('03. Chi tiết TS các bộ phận'!H40,'6. data thông tin nhân sự'!B:B,0))</f>
        <v>Đào Thị Thùy</v>
      </c>
      <c r="J40" s="166" t="str">
        <f>INDEX('6. data thông tin nhân sự'!G:G,MATCH('03. Chi tiết TS các bộ phận'!H40,'6. data thông tin nhân sự'!B:B,0))</f>
        <v>Truyền thông - Marketing</v>
      </c>
      <c r="K40" s="166" t="str">
        <f>INDEX('6. data thông tin nhân sự'!D:D,MATCH('03. Chi tiết TS các bộ phận'!H40,'6. data thông tin nhân sự'!B:B,0))</f>
        <v>Chính thức</v>
      </c>
      <c r="L40" s="722"/>
      <c r="M40" s="228">
        <v>45839</v>
      </c>
      <c r="N40" s="228" t="str">
        <f>INDEX('6. data thông tin nhân sự'!N:N, MATCH('03. Chi tiết TS các bộ phận'!H40, '6. data thông tin nhân sự'!B:B,0))</f>
        <v>25/05/2020</v>
      </c>
      <c r="O40" s="161" t="s">
        <v>298</v>
      </c>
      <c r="P40" s="161"/>
      <c r="Q40" s="161"/>
      <c r="R40" s="161"/>
      <c r="S40" s="161"/>
      <c r="T40" s="161"/>
      <c r="U40" s="161"/>
      <c r="V40" s="161"/>
    </row>
    <row r="41" spans="1:22" s="155" customFormat="1" ht="27.75" customHeight="1">
      <c r="A41" s="166" t="s">
        <v>352</v>
      </c>
      <c r="B41" s="166" t="s">
        <v>79</v>
      </c>
      <c r="C41" s="161"/>
      <c r="D41" s="166"/>
      <c r="E41" s="166" t="s">
        <v>345</v>
      </c>
      <c r="F41" s="162" t="s">
        <v>296</v>
      </c>
      <c r="G41" s="162">
        <v>1</v>
      </c>
      <c r="H41" s="161">
        <v>20002</v>
      </c>
      <c r="I41" s="166" t="str">
        <f>INDEX('6. data thông tin nhân sự'!C:C,MATCH('03. Chi tiết TS các bộ phận'!H41,'6. data thông tin nhân sự'!B:B,0))</f>
        <v>Đào Thị Thùy</v>
      </c>
      <c r="J41" s="166" t="str">
        <f>INDEX('6. data thông tin nhân sự'!G:G,MATCH('03. Chi tiết TS các bộ phận'!H41,'6. data thông tin nhân sự'!B:B,0))</f>
        <v>Truyền thông - Marketing</v>
      </c>
      <c r="K41" s="166" t="str">
        <f>INDEX('6. data thông tin nhân sự'!D:D,MATCH('03. Chi tiết TS các bộ phận'!H41,'6. data thông tin nhân sự'!B:B,0))</f>
        <v>Chính thức</v>
      </c>
      <c r="L41" s="723"/>
      <c r="M41" s="228">
        <v>45839</v>
      </c>
      <c r="N41" s="228" t="str">
        <f>INDEX('6. data thông tin nhân sự'!N:N, MATCH('03. Chi tiết TS các bộ phận'!H41, '6. data thông tin nhân sự'!B:B,0))</f>
        <v>25/05/2020</v>
      </c>
      <c r="O41" s="166" t="s">
        <v>298</v>
      </c>
      <c r="P41" s="166"/>
      <c r="Q41" s="166"/>
      <c r="R41" s="166"/>
      <c r="S41" s="166"/>
      <c r="T41" s="166"/>
      <c r="U41" s="166"/>
      <c r="V41" s="166"/>
    </row>
    <row r="42" spans="1:22" s="155" customFormat="1" ht="75" hidden="1" customHeight="1">
      <c r="A42" s="163" t="s">
        <v>200</v>
      </c>
      <c r="B42" s="163" t="s">
        <v>77</v>
      </c>
      <c r="C42" s="163"/>
      <c r="D42" s="252" t="s">
        <v>353</v>
      </c>
      <c r="E42" s="163" t="s">
        <v>345</v>
      </c>
      <c r="F42" s="139" t="s">
        <v>296</v>
      </c>
      <c r="G42" s="139">
        <v>1</v>
      </c>
      <c r="H42" s="163">
        <v>22002</v>
      </c>
      <c r="I42" s="140" t="str">
        <f>INDEX('6. data thông tin nhân sự'!C:C,MATCH('03. Chi tiết TS các bộ phận'!H42,'6. data thông tin nhân sự'!B:B,0))</f>
        <v>Ngô Khánh Vi</v>
      </c>
      <c r="J42" s="140" t="str">
        <f>INDEX('6. data thông tin nhân sự'!G:G,MATCH('03. Chi tiết TS các bộ phận'!H42,'6. data thông tin nhân sự'!B:B,0))</f>
        <v>Truyền thông - Marketing</v>
      </c>
      <c r="K42" s="140" t="str">
        <f>INDEX('6. data thông tin nhân sự'!D:D,MATCH('03. Chi tiết TS các bộ phận'!H42,'6. data thông tin nhân sự'!B:B,0))</f>
        <v>Chính thức</v>
      </c>
      <c r="L42" s="727" t="s">
        <v>354</v>
      </c>
      <c r="M42" s="231">
        <v>46204</v>
      </c>
      <c r="N42" s="231" t="str">
        <f>INDEX('6. data thông tin nhân sự'!N:N, MATCH('03. Chi tiết TS các bộ phận'!H42, '6. data thông tin nhân sự'!B:B,0))</f>
        <v>09/05/2022</v>
      </c>
      <c r="O42" s="163" t="s">
        <v>298</v>
      </c>
      <c r="P42" s="149"/>
      <c r="Q42" s="149"/>
      <c r="R42" s="149"/>
      <c r="S42" s="149"/>
      <c r="T42" s="149"/>
      <c r="U42" s="149"/>
      <c r="V42" s="149"/>
    </row>
    <row r="43" spans="1:22" s="155" customFormat="1" ht="27.75" hidden="1" customHeight="1">
      <c r="A43" s="163" t="s">
        <v>355</v>
      </c>
      <c r="B43" s="163" t="s">
        <v>78</v>
      </c>
      <c r="C43" s="163" t="s">
        <v>299</v>
      </c>
      <c r="D43" s="163"/>
      <c r="E43" s="163" t="s">
        <v>345</v>
      </c>
      <c r="F43" s="139" t="s">
        <v>296</v>
      </c>
      <c r="G43" s="139">
        <v>1</v>
      </c>
      <c r="H43" s="163">
        <v>22002</v>
      </c>
      <c r="I43" s="140" t="str">
        <f>INDEX('6. data thông tin nhân sự'!C:C,MATCH('03. Chi tiết TS các bộ phận'!H43,'6. data thông tin nhân sự'!B:B,0))</f>
        <v>Ngô Khánh Vi</v>
      </c>
      <c r="J43" s="140" t="str">
        <f>INDEX('6. data thông tin nhân sự'!G:G,MATCH('03. Chi tiết TS các bộ phận'!H43,'6. data thông tin nhân sự'!B:B,0))</f>
        <v>Truyền thông - Marketing</v>
      </c>
      <c r="K43" s="140" t="str">
        <f>INDEX('6. data thông tin nhân sự'!D:D,MATCH('03. Chi tiết TS các bộ phận'!H43,'6. data thông tin nhân sự'!B:B,0))</f>
        <v>Chính thức</v>
      </c>
      <c r="L43" s="727"/>
      <c r="M43" s="231">
        <v>46204</v>
      </c>
      <c r="N43" s="231" t="str">
        <f>INDEX('6. data thông tin nhân sự'!N:N, MATCH('03. Chi tiết TS các bộ phận'!H43, '6. data thông tin nhân sự'!B:B,0))</f>
        <v>09/05/2022</v>
      </c>
      <c r="O43" s="163" t="s">
        <v>298</v>
      </c>
      <c r="P43" s="149"/>
      <c r="Q43" s="149"/>
      <c r="R43" s="149"/>
      <c r="S43" s="149"/>
      <c r="T43" s="149"/>
      <c r="U43" s="149"/>
      <c r="V43" s="149"/>
    </row>
    <row r="44" spans="1:22" s="155" customFormat="1" ht="27.75" hidden="1" customHeight="1">
      <c r="A44" s="163" t="s">
        <v>356</v>
      </c>
      <c r="B44" s="163" t="s">
        <v>80</v>
      </c>
      <c r="C44" s="163"/>
      <c r="D44" s="163"/>
      <c r="E44" s="163" t="s">
        <v>345</v>
      </c>
      <c r="F44" s="139" t="s">
        <v>296</v>
      </c>
      <c r="G44" s="139">
        <v>1</v>
      </c>
      <c r="H44" s="163">
        <v>22002</v>
      </c>
      <c r="I44" s="140" t="str">
        <f>INDEX('6. data thông tin nhân sự'!C:C,MATCH('03. Chi tiết TS các bộ phận'!H44,'6. data thông tin nhân sự'!B:B,0))</f>
        <v>Ngô Khánh Vi</v>
      </c>
      <c r="J44" s="140" t="str">
        <f>INDEX('6. data thông tin nhân sự'!G:G,MATCH('03. Chi tiết TS các bộ phận'!H44,'6. data thông tin nhân sự'!B:B,0))</f>
        <v>Truyền thông - Marketing</v>
      </c>
      <c r="K44" s="140" t="str">
        <f>INDEX('6. data thông tin nhân sự'!D:D,MATCH('03. Chi tiết TS các bộ phận'!H44,'6. data thông tin nhân sự'!B:B,0))</f>
        <v>Chính thức</v>
      </c>
      <c r="L44" s="727"/>
      <c r="M44" s="231">
        <v>46204</v>
      </c>
      <c r="N44" s="231" t="str">
        <f>INDEX('6. data thông tin nhân sự'!N:N, MATCH('03. Chi tiết TS các bộ phận'!H44, '6. data thông tin nhân sự'!B:B,0))</f>
        <v>09/05/2022</v>
      </c>
      <c r="O44" s="163" t="s">
        <v>298</v>
      </c>
      <c r="P44" s="149"/>
      <c r="Q44" s="149"/>
      <c r="R44" s="149"/>
      <c r="S44" s="149"/>
      <c r="T44" s="149"/>
      <c r="U44" s="149"/>
      <c r="V44" s="149"/>
    </row>
    <row r="45" spans="1:22" s="155" customFormat="1" ht="27.75" customHeight="1">
      <c r="A45" s="140" t="s">
        <v>357</v>
      </c>
      <c r="B45" s="140" t="s">
        <v>79</v>
      </c>
      <c r="C45" s="163"/>
      <c r="D45" s="140"/>
      <c r="E45" s="140" t="s">
        <v>345</v>
      </c>
      <c r="F45" s="139" t="s">
        <v>296</v>
      </c>
      <c r="G45" s="139">
        <v>1</v>
      </c>
      <c r="H45" s="163">
        <v>22002</v>
      </c>
      <c r="I45" s="140" t="str">
        <f>INDEX('6. data thông tin nhân sự'!C:C,MATCH('03. Chi tiết TS các bộ phận'!H45,'6. data thông tin nhân sự'!B:B,0))</f>
        <v>Ngô Khánh Vi</v>
      </c>
      <c r="J45" s="140" t="str">
        <f>INDEX('6. data thông tin nhân sự'!G:G,MATCH('03. Chi tiết TS các bộ phận'!H45,'6. data thông tin nhân sự'!B:B,0))</f>
        <v>Truyền thông - Marketing</v>
      </c>
      <c r="K45" s="140" t="str">
        <f>INDEX('6. data thông tin nhân sự'!D:D,MATCH('03. Chi tiết TS các bộ phận'!H45,'6. data thông tin nhân sự'!B:B,0))</f>
        <v>Chính thức</v>
      </c>
      <c r="L45" s="727"/>
      <c r="M45" s="231">
        <v>46204</v>
      </c>
      <c r="N45" s="231" t="str">
        <f>INDEX('6. data thông tin nhân sự'!N:N, MATCH('03. Chi tiết TS các bộ phận'!H45, '6. data thông tin nhân sự'!B:B,0))</f>
        <v>09/05/2022</v>
      </c>
      <c r="O45" s="163" t="s">
        <v>298</v>
      </c>
      <c r="P45" s="165"/>
      <c r="Q45" s="165"/>
      <c r="R45" s="165"/>
      <c r="S45" s="165"/>
      <c r="T45" s="165"/>
      <c r="U45" s="165"/>
      <c r="V45" s="165"/>
    </row>
    <row r="46" spans="1:22" s="155" customFormat="1" ht="81.75" hidden="1" customHeight="1">
      <c r="A46" s="161" t="s">
        <v>358</v>
      </c>
      <c r="B46" s="161" t="s">
        <v>76</v>
      </c>
      <c r="C46" s="161"/>
      <c r="D46" s="236" t="s">
        <v>359</v>
      </c>
      <c r="E46" s="166" t="s">
        <v>345</v>
      </c>
      <c r="F46" s="162" t="s">
        <v>296</v>
      </c>
      <c r="G46" s="162">
        <v>1</v>
      </c>
      <c r="H46" s="161">
        <v>26019</v>
      </c>
      <c r="I46" s="166" t="str">
        <f>INDEX('6. data thông tin nhân sự'!C:C,MATCH('03. Chi tiết TS các bộ phận'!H46,'6. data thông tin nhân sự'!B:B,0))</f>
        <v>Vũ Thị Bích Ngọc</v>
      </c>
      <c r="J46" s="166" t="str">
        <f>INDEX('6. data thông tin nhân sự'!G:G,MATCH('03. Chi tiết TS các bộ phận'!H46,'6. data thông tin nhân sự'!B:B,0))</f>
        <v>Truyền thông - Marketing</v>
      </c>
      <c r="K46" s="166" t="str">
        <f>INDEX('6. data thông tin nhân sự'!D:D,MATCH('03. Chi tiết TS các bộ phận'!H46,'6. data thông tin nhân sự'!B:B,0))</f>
        <v>Chính thức</v>
      </c>
      <c r="L46" s="721" t="s">
        <v>360</v>
      </c>
      <c r="M46" s="228">
        <v>46204</v>
      </c>
      <c r="N46" s="228" t="str">
        <f>INDEX('6. data thông tin nhân sự'!N:N, MATCH('03. Chi tiết TS các bộ phận'!H46, '6. data thông tin nhân sự'!B:B,0))</f>
        <v>18/06/2026</v>
      </c>
      <c r="O46" s="161" t="s">
        <v>298</v>
      </c>
      <c r="P46" s="161"/>
      <c r="Q46" s="161"/>
      <c r="R46" s="229" t="s">
        <v>361</v>
      </c>
      <c r="S46" s="161"/>
      <c r="T46" s="161"/>
      <c r="U46" s="161"/>
      <c r="V46" s="161"/>
    </row>
    <row r="47" spans="1:22" s="155" customFormat="1" ht="27.75" customHeight="1">
      <c r="A47" s="166" t="s">
        <v>362</v>
      </c>
      <c r="B47" s="161" t="s">
        <v>79</v>
      </c>
      <c r="C47" s="161"/>
      <c r="D47" s="166"/>
      <c r="E47" s="166" t="s">
        <v>345</v>
      </c>
      <c r="F47" s="162" t="s">
        <v>296</v>
      </c>
      <c r="G47" s="162">
        <v>1</v>
      </c>
      <c r="H47" s="161">
        <v>26019</v>
      </c>
      <c r="I47" s="166" t="str">
        <f>INDEX('6. data thông tin nhân sự'!C:C,MATCH('03. Chi tiết TS các bộ phận'!H47,'6. data thông tin nhân sự'!B:B,0))</f>
        <v>Vũ Thị Bích Ngọc</v>
      </c>
      <c r="J47" s="166" t="str">
        <f>INDEX('6. data thông tin nhân sự'!G:G,MATCH('03. Chi tiết TS các bộ phận'!H47,'6. data thông tin nhân sự'!B:B,0))</f>
        <v>Truyền thông - Marketing</v>
      </c>
      <c r="K47" s="166" t="str">
        <f>INDEX('6. data thông tin nhân sự'!D:D,MATCH('03. Chi tiết TS các bộ phận'!H47,'6. data thông tin nhân sự'!B:B,0))</f>
        <v>Chính thức</v>
      </c>
      <c r="L47" s="723"/>
      <c r="M47" s="228">
        <v>46204</v>
      </c>
      <c r="N47" s="228" t="str">
        <f>INDEX('6. data thông tin nhân sự'!N:N, MATCH('03. Chi tiết TS các bộ phận'!H47, '6. data thông tin nhân sự'!B:B,0))</f>
        <v>18/06/2026</v>
      </c>
      <c r="O47" s="161" t="s">
        <v>298</v>
      </c>
      <c r="P47" s="166"/>
      <c r="Q47" s="166"/>
      <c r="R47" s="229" t="s">
        <v>361</v>
      </c>
      <c r="S47" s="166"/>
      <c r="T47" s="166"/>
      <c r="U47" s="166"/>
      <c r="V47" s="166"/>
    </row>
    <row r="48" spans="1:22" s="155" customFormat="1" ht="27.75" hidden="1" customHeight="1">
      <c r="A48" s="157" t="s">
        <v>363</v>
      </c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9"/>
      <c r="N48" s="159"/>
      <c r="O48" s="158"/>
      <c r="P48" s="158"/>
      <c r="Q48" s="158"/>
      <c r="R48" s="189"/>
      <c r="S48" s="189"/>
      <c r="T48" s="189"/>
      <c r="U48" s="189"/>
      <c r="V48" s="189"/>
    </row>
    <row r="49" spans="1:22" s="155" customFormat="1" ht="116.25" hidden="1" customHeight="1">
      <c r="A49" s="149" t="s">
        <v>364</v>
      </c>
      <c r="B49" s="149" t="s">
        <v>76</v>
      </c>
      <c r="C49" s="163"/>
      <c r="D49" s="235" t="s">
        <v>365</v>
      </c>
      <c r="E49" s="149" t="s">
        <v>366</v>
      </c>
      <c r="F49" s="150" t="s">
        <v>296</v>
      </c>
      <c r="G49" s="150">
        <v>1</v>
      </c>
      <c r="H49" s="163">
        <v>20003</v>
      </c>
      <c r="I49" s="140" t="str">
        <f>INDEX('6. data thông tin nhân sự'!C:C,MATCH('03. Chi tiết TS các bộ phận'!H49,'6. data thông tin nhân sự'!B:B,0))</f>
        <v>Nguyễn Mạnh Hoàng</v>
      </c>
      <c r="J49" s="140" t="str">
        <f>INDEX('6. data thông tin nhân sự'!G:G,MATCH('03. Chi tiết TS các bộ phận'!H49,'6. data thông tin nhân sự'!B:B,0))</f>
        <v>Sáng tạo - Creative</v>
      </c>
      <c r="K49" s="140" t="str">
        <f>INDEX('6. data thông tin nhân sự'!D:D,MATCH('03. Chi tiết TS các bộ phận'!H49,'6. data thông tin nhân sự'!B:B,0))</f>
        <v>Chính thức</v>
      </c>
      <c r="L49" s="718" t="s">
        <v>367</v>
      </c>
      <c r="M49" s="575">
        <v>46217</v>
      </c>
      <c r="N49" s="231" t="str">
        <f>INDEX('6. data thông tin nhân sự'!N:N, MATCH('03. Chi tiết TS các bộ phận'!H49, '6. data thông tin nhân sự'!B:B,0))</f>
        <v>30/09/2020</v>
      </c>
      <c r="O49" s="163" t="s">
        <v>298</v>
      </c>
      <c r="P49" s="163" t="s">
        <v>368</v>
      </c>
      <c r="Q49" s="164" t="s">
        <v>369</v>
      </c>
      <c r="R49" s="163"/>
      <c r="S49" s="163"/>
      <c r="T49" s="164"/>
      <c r="U49" s="164"/>
      <c r="V49" s="164"/>
    </row>
    <row r="50" spans="1:22" s="155" customFormat="1" ht="114" hidden="1" customHeight="1">
      <c r="A50" s="149" t="s">
        <v>180</v>
      </c>
      <c r="B50" s="149" t="s">
        <v>76</v>
      </c>
      <c r="C50" s="163"/>
      <c r="D50" s="235" t="s">
        <v>370</v>
      </c>
      <c r="E50" s="149" t="s">
        <v>366</v>
      </c>
      <c r="F50" s="150" t="s">
        <v>296</v>
      </c>
      <c r="G50" s="150">
        <v>1</v>
      </c>
      <c r="H50" s="163">
        <v>20003</v>
      </c>
      <c r="I50" s="140" t="str">
        <f>INDEX('6. data thông tin nhân sự'!C:C,MATCH('03. Chi tiết TS các bộ phận'!H50,'6. data thông tin nhân sự'!B:B,0))</f>
        <v>Nguyễn Mạnh Hoàng</v>
      </c>
      <c r="J50" s="140" t="str">
        <f>INDEX('6. data thông tin nhân sự'!G:G,MATCH('03. Chi tiết TS các bộ phận'!H50,'6. data thông tin nhân sự'!B:B,0))</f>
        <v>Sáng tạo - Creative</v>
      </c>
      <c r="K50" s="140" t="str">
        <f>INDEX('6. data thông tin nhân sự'!D:D,MATCH('03. Chi tiết TS các bộ phận'!H50,'6. data thông tin nhân sự'!B:B,0))</f>
        <v>Chính thức</v>
      </c>
      <c r="L50" s="719"/>
      <c r="M50" s="575">
        <v>46217</v>
      </c>
      <c r="N50" s="231">
        <v>46183</v>
      </c>
      <c r="O50" s="163" t="s">
        <v>298</v>
      </c>
      <c r="P50" s="576" t="s">
        <v>185</v>
      </c>
      <c r="Q50" s="164" t="s">
        <v>371</v>
      </c>
      <c r="R50" s="163" t="s">
        <v>372</v>
      </c>
      <c r="S50" s="163"/>
      <c r="T50" s="164"/>
      <c r="U50" s="164"/>
      <c r="V50" s="164"/>
    </row>
    <row r="51" spans="1:22" s="155" customFormat="1" ht="27.75" hidden="1" customHeight="1">
      <c r="A51" s="140" t="s">
        <v>186</v>
      </c>
      <c r="B51" s="140" t="s">
        <v>80</v>
      </c>
      <c r="C51" s="163"/>
      <c r="D51" s="140"/>
      <c r="E51" s="163" t="s">
        <v>373</v>
      </c>
      <c r="F51" s="139" t="s">
        <v>296</v>
      </c>
      <c r="G51" s="139">
        <v>1</v>
      </c>
      <c r="H51" s="163">
        <v>20003</v>
      </c>
      <c r="I51" s="140" t="str">
        <f>INDEX('6. data thông tin nhân sự'!C:C,MATCH('03. Chi tiết TS các bộ phận'!H51,'6. data thông tin nhân sự'!B:B,0))</f>
        <v>Nguyễn Mạnh Hoàng</v>
      </c>
      <c r="J51" s="140" t="str">
        <f>INDEX('6. data thông tin nhân sự'!G:G,MATCH('03. Chi tiết TS các bộ phận'!H51,'6. data thông tin nhân sự'!B:B,0))</f>
        <v>Sáng tạo - Creative</v>
      </c>
      <c r="K51" s="140" t="str">
        <f>INDEX('6. data thông tin nhân sự'!D:D,MATCH('03. Chi tiết TS các bộ phận'!H51,'6. data thông tin nhân sự'!B:B,0))</f>
        <v>Chính thức</v>
      </c>
      <c r="L51" s="719"/>
      <c r="M51" s="575">
        <v>46217</v>
      </c>
      <c r="N51" s="231" t="str">
        <f>INDEX('6. data thông tin nhân sự'!N:N, MATCH('03. Chi tiết TS các bộ phận'!H51, '6. data thông tin nhân sự'!B:B,0))</f>
        <v>30/09/2020</v>
      </c>
      <c r="O51" s="163" t="s">
        <v>298</v>
      </c>
      <c r="P51" s="163"/>
      <c r="Q51" s="163"/>
      <c r="R51" s="163"/>
      <c r="S51" s="163"/>
      <c r="T51" s="163"/>
      <c r="U51" s="163"/>
      <c r="V51" s="163"/>
    </row>
    <row r="52" spans="1:22" s="155" customFormat="1" ht="27.75" hidden="1" customHeight="1">
      <c r="A52" s="163" t="s">
        <v>169</v>
      </c>
      <c r="B52" s="149" t="s">
        <v>81</v>
      </c>
      <c r="C52" s="163"/>
      <c r="D52" s="149" t="s">
        <v>374</v>
      </c>
      <c r="E52" s="149" t="s">
        <v>373</v>
      </c>
      <c r="F52" s="150" t="s">
        <v>346</v>
      </c>
      <c r="G52" s="150">
        <v>1</v>
      </c>
      <c r="H52" s="163">
        <v>20003</v>
      </c>
      <c r="I52" s="140" t="str">
        <f>INDEX('6. data thông tin nhân sự'!C:C,MATCH('03. Chi tiết TS các bộ phận'!H52,'6. data thông tin nhân sự'!B:B,0))</f>
        <v>Nguyễn Mạnh Hoàng</v>
      </c>
      <c r="J52" s="140" t="str">
        <f>INDEX('6. data thông tin nhân sự'!G:G,MATCH('03. Chi tiết TS các bộ phận'!H52,'6. data thông tin nhân sự'!B:B,0))</f>
        <v>Sáng tạo - Creative</v>
      </c>
      <c r="K52" s="140" t="str">
        <f>INDEX('6. data thông tin nhân sự'!D:D,MATCH('03. Chi tiết TS các bộ phận'!H52,'6. data thông tin nhân sự'!B:B,0))</f>
        <v>Chính thức</v>
      </c>
      <c r="L52" s="720"/>
      <c r="M52" s="575">
        <v>46217</v>
      </c>
      <c r="N52" s="231" t="str">
        <f>INDEX('6. data thông tin nhân sự'!N:N, MATCH('03. Chi tiết TS các bộ phận'!H52, '6. data thông tin nhân sự'!B:B,0))</f>
        <v>30/09/2020</v>
      </c>
      <c r="O52" s="163" t="s">
        <v>298</v>
      </c>
      <c r="P52" s="163"/>
      <c r="Q52" s="163"/>
      <c r="R52" s="163"/>
      <c r="S52" s="163"/>
      <c r="T52" s="163"/>
      <c r="U52" s="163"/>
      <c r="V52" s="163"/>
    </row>
    <row r="53" spans="1:22" s="155" customFormat="1" ht="50.25" hidden="1" customHeight="1">
      <c r="A53" s="161" t="s">
        <v>375</v>
      </c>
      <c r="B53" s="161" t="s">
        <v>78</v>
      </c>
      <c r="C53" s="161" t="s">
        <v>299</v>
      </c>
      <c r="D53" s="161"/>
      <c r="E53" s="161" t="s">
        <v>373</v>
      </c>
      <c r="F53" s="162" t="s">
        <v>296</v>
      </c>
      <c r="G53" s="162">
        <v>1</v>
      </c>
      <c r="H53" s="161">
        <v>21003</v>
      </c>
      <c r="I53" s="166" t="str">
        <f>INDEX('6. data thông tin nhân sự'!C:C,MATCH('03. Chi tiết TS các bộ phận'!H53,'6. data thông tin nhân sự'!B:B,0))</f>
        <v>Đặng Đức Hoàng</v>
      </c>
      <c r="J53" s="166" t="str">
        <f>INDEX('6. data thông tin nhân sự'!G:G,MATCH('03. Chi tiết TS các bộ phận'!H53,'6. data thông tin nhân sự'!B:B,0))</f>
        <v>Sáng tạo - Creative</v>
      </c>
      <c r="K53" s="166" t="str">
        <f>INDEX('6. data thông tin nhân sự'!D:D,MATCH('03. Chi tiết TS các bộ phận'!H53,'6. data thông tin nhân sự'!B:B,0))</f>
        <v>Chính thức</v>
      </c>
      <c r="L53" s="721" t="s">
        <v>376</v>
      </c>
      <c r="M53" s="228">
        <v>46217</v>
      </c>
      <c r="N53" s="228" t="str">
        <f>INDEX('6. data thông tin nhân sự'!N:N, MATCH('03. Chi tiết TS các bộ phận'!H53, '6. data thông tin nhân sự'!B:B,0))</f>
        <v>19/05/2021</v>
      </c>
      <c r="O53" s="161" t="s">
        <v>298</v>
      </c>
      <c r="P53" s="161"/>
      <c r="Q53" s="229"/>
      <c r="R53" s="161"/>
      <c r="S53" s="161"/>
      <c r="T53" s="229"/>
      <c r="U53" s="229"/>
      <c r="V53" s="229"/>
    </row>
    <row r="54" spans="1:22" s="155" customFormat="1" ht="50.25" hidden="1" customHeight="1">
      <c r="A54" s="161" t="s">
        <v>225</v>
      </c>
      <c r="B54" s="161" t="s">
        <v>76</v>
      </c>
      <c r="C54" s="161"/>
      <c r="D54" s="236" t="s">
        <v>377</v>
      </c>
      <c r="E54" s="161" t="s">
        <v>373</v>
      </c>
      <c r="F54" s="162" t="s">
        <v>296</v>
      </c>
      <c r="G54" s="162">
        <v>1</v>
      </c>
      <c r="H54" s="161">
        <v>21003</v>
      </c>
      <c r="I54" s="166" t="str">
        <f>INDEX('6. data thông tin nhân sự'!C:C,MATCH('03. Chi tiết TS các bộ phận'!H54,'6. data thông tin nhân sự'!B:B,0))</f>
        <v>Đặng Đức Hoàng</v>
      </c>
      <c r="J54" s="166" t="str">
        <f>INDEX('6. data thông tin nhân sự'!G:G,MATCH('03. Chi tiết TS các bộ phận'!H54,'6. data thông tin nhân sự'!B:B,0))</f>
        <v>Sáng tạo - Creative</v>
      </c>
      <c r="K54" s="166" t="str">
        <f>INDEX('6. data thông tin nhân sự'!D:D,MATCH('03. Chi tiết TS các bộ phận'!H54,'6. data thông tin nhân sự'!B:B,0))</f>
        <v>Chính thức</v>
      </c>
      <c r="L54" s="722"/>
      <c r="M54" s="228">
        <v>46223</v>
      </c>
      <c r="N54" s="228">
        <v>46223</v>
      </c>
      <c r="O54" s="161" t="s">
        <v>298</v>
      </c>
      <c r="P54" s="161"/>
      <c r="Q54" s="229" t="s">
        <v>378</v>
      </c>
      <c r="R54" s="161"/>
      <c r="S54" s="161"/>
      <c r="T54" s="229"/>
      <c r="U54" s="229"/>
      <c r="V54" s="229"/>
    </row>
    <row r="55" spans="1:22" s="155" customFormat="1" ht="50.25" hidden="1" customHeight="1">
      <c r="A55" s="161" t="s">
        <v>157</v>
      </c>
      <c r="B55" s="161" t="s">
        <v>81</v>
      </c>
      <c r="C55" s="161" t="s">
        <v>379</v>
      </c>
      <c r="D55" s="236" t="s">
        <v>380</v>
      </c>
      <c r="E55" s="161" t="s">
        <v>373</v>
      </c>
      <c r="F55" s="162" t="s">
        <v>296</v>
      </c>
      <c r="G55" s="162">
        <v>1</v>
      </c>
      <c r="H55" s="161">
        <v>21003</v>
      </c>
      <c r="I55" s="166" t="str">
        <f>INDEX('6. data thông tin nhân sự'!C:C,MATCH('03. Chi tiết TS các bộ phận'!H55,'6. data thông tin nhân sự'!B:B,0))</f>
        <v>Đặng Đức Hoàng</v>
      </c>
      <c r="J55" s="166" t="str">
        <f>INDEX('6. data thông tin nhân sự'!G:G,MATCH('03. Chi tiết TS các bộ phận'!H55,'6. data thông tin nhân sự'!B:B,0))</f>
        <v>Sáng tạo - Creative</v>
      </c>
      <c r="K55" s="166" t="str">
        <f>INDEX('6. data thông tin nhân sự'!D:D,MATCH('03. Chi tiết TS các bộ phận'!H55,'6. data thông tin nhân sự'!B:B,0))</f>
        <v>Chính thức</v>
      </c>
      <c r="L55" s="723"/>
      <c r="M55" s="228">
        <v>46223</v>
      </c>
      <c r="N55" s="228">
        <v>46048</v>
      </c>
      <c r="O55" s="161" t="s">
        <v>298</v>
      </c>
      <c r="P55" s="161"/>
      <c r="Q55" s="229" t="s">
        <v>381</v>
      </c>
      <c r="R55" s="161"/>
      <c r="S55" s="161"/>
      <c r="T55" s="229"/>
      <c r="U55" s="229"/>
      <c r="V55" s="229"/>
    </row>
    <row r="56" spans="1:22" s="155" customFormat="1" ht="96" hidden="1" customHeight="1">
      <c r="A56" s="163" t="s">
        <v>382</v>
      </c>
      <c r="B56" s="163" t="s">
        <v>77</v>
      </c>
      <c r="C56" s="163"/>
      <c r="D56" s="252" t="s">
        <v>383</v>
      </c>
      <c r="E56" s="163" t="s">
        <v>373</v>
      </c>
      <c r="F56" s="139" t="s">
        <v>296</v>
      </c>
      <c r="G56" s="139">
        <v>1</v>
      </c>
      <c r="H56" s="163">
        <v>24003</v>
      </c>
      <c r="I56" s="140" t="str">
        <f>INDEX('6. data thông tin nhân sự'!C:C,MATCH('03. Chi tiết TS các bộ phận'!H56,'6. data thông tin nhân sự'!B:B,0))</f>
        <v>Nguyễn Thị Hà Giang</v>
      </c>
      <c r="J56" s="140" t="str">
        <f>INDEX('6. data thông tin nhân sự'!G:G,MATCH('03. Chi tiết TS các bộ phận'!H56,'6. data thông tin nhân sự'!B:B,0))</f>
        <v>Sáng tạo - Creative</v>
      </c>
      <c r="K56" s="140" t="str">
        <f>INDEX('6. data thông tin nhân sự'!D:D,MATCH('03. Chi tiết TS các bộ phận'!H56,'6. data thông tin nhân sự'!B:B,0))</f>
        <v>Chính thức</v>
      </c>
      <c r="L56" s="718" t="s">
        <v>384</v>
      </c>
      <c r="M56" s="231">
        <v>46217</v>
      </c>
      <c r="N56" s="231">
        <v>46197</v>
      </c>
      <c r="O56" s="163" t="s">
        <v>298</v>
      </c>
      <c r="P56" s="163"/>
      <c r="Q56" s="163"/>
      <c r="R56" s="164" t="s">
        <v>385</v>
      </c>
      <c r="S56" s="163"/>
      <c r="T56" s="163"/>
      <c r="U56" s="163"/>
      <c r="V56" s="163"/>
    </row>
    <row r="57" spans="1:22" s="155" customFormat="1" ht="27.75" hidden="1" customHeight="1">
      <c r="A57" s="163" t="s">
        <v>386</v>
      </c>
      <c r="B57" s="163" t="s">
        <v>78</v>
      </c>
      <c r="C57" s="163" t="s">
        <v>299</v>
      </c>
      <c r="D57" s="163"/>
      <c r="E57" s="163" t="s">
        <v>373</v>
      </c>
      <c r="F57" s="139" t="s">
        <v>296</v>
      </c>
      <c r="G57" s="139">
        <v>1</v>
      </c>
      <c r="H57" s="163">
        <v>24003</v>
      </c>
      <c r="I57" s="140" t="str">
        <f>INDEX('6. data thông tin nhân sự'!C:C,MATCH('03. Chi tiết TS các bộ phận'!H57,'6. data thông tin nhân sự'!B:B,0))</f>
        <v>Nguyễn Thị Hà Giang</v>
      </c>
      <c r="J57" s="140" t="str">
        <f>INDEX('6. data thông tin nhân sự'!G:G,MATCH('03. Chi tiết TS các bộ phận'!H57,'6. data thông tin nhân sự'!B:B,0))</f>
        <v>Sáng tạo - Creative</v>
      </c>
      <c r="K57" s="140" t="str">
        <f>INDEX('6. data thông tin nhân sự'!D:D,MATCH('03. Chi tiết TS các bộ phận'!H57,'6. data thông tin nhân sự'!B:B,0))</f>
        <v>Chính thức</v>
      </c>
      <c r="L57" s="720"/>
      <c r="M57" s="231">
        <v>46217</v>
      </c>
      <c r="N57" s="231" t="str">
        <f>INDEX('6. data thông tin nhân sự'!N:N, MATCH('03. Chi tiết TS các bộ phận'!H57, '6. data thông tin nhân sự'!B:B,0))</f>
        <v>01/04/2024</v>
      </c>
      <c r="O57" s="163" t="s">
        <v>298</v>
      </c>
      <c r="P57" s="163"/>
      <c r="Q57" s="163"/>
      <c r="R57" s="163"/>
      <c r="S57" s="163"/>
      <c r="T57" s="163"/>
      <c r="U57" s="163"/>
      <c r="V57" s="163"/>
    </row>
    <row r="58" spans="1:22" s="155" customFormat="1" ht="90.75" hidden="1" customHeight="1">
      <c r="A58" s="161" t="s">
        <v>387</v>
      </c>
      <c r="B58" s="161" t="s">
        <v>77</v>
      </c>
      <c r="C58" s="161"/>
      <c r="D58" s="236" t="s">
        <v>388</v>
      </c>
      <c r="E58" s="161" t="s">
        <v>373</v>
      </c>
      <c r="F58" s="162" t="s">
        <v>296</v>
      </c>
      <c r="G58" s="162">
        <v>1</v>
      </c>
      <c r="H58" s="161">
        <v>26023</v>
      </c>
      <c r="I58" s="166" t="str">
        <f>INDEX('6. data thông tin nhân sự'!C:C,MATCH('03. Chi tiết TS các bộ phận'!H58,'6. data thông tin nhân sự'!B:B,0))</f>
        <v>Lê Đức Minh</v>
      </c>
      <c r="J58" s="166" t="str">
        <f>INDEX('6. data thông tin nhân sự'!G:G,MATCH('03. Chi tiết TS các bộ phận'!H58,'6. data thông tin nhân sự'!B:B,0))</f>
        <v>Sáng tạo - Creative</v>
      </c>
      <c r="K58" s="166" t="str">
        <f>INDEX('6. data thông tin nhân sự'!D:D,MATCH('03. Chi tiết TS các bộ phận'!H58,'6. data thông tin nhân sự'!B:B,0))</f>
        <v>Thử việc</v>
      </c>
      <c r="L58" s="721" t="s">
        <v>389</v>
      </c>
      <c r="M58" s="228">
        <v>46237</v>
      </c>
      <c r="N58" s="228" t="str">
        <f>INDEX('6. data thông tin nhân sự'!N:N, MATCH('03. Chi tiết TS các bộ phận'!H58, '6. data thông tin nhân sự'!B:B,0))</f>
        <v>03/08/2026</v>
      </c>
      <c r="O58" s="161" t="s">
        <v>298</v>
      </c>
      <c r="P58" s="161"/>
      <c r="Q58" s="161"/>
      <c r="R58" s="229" t="s">
        <v>390</v>
      </c>
      <c r="S58" s="229" t="s">
        <v>391</v>
      </c>
      <c r="T58" s="161"/>
      <c r="U58" s="161"/>
      <c r="V58" s="161"/>
    </row>
    <row r="59" spans="1:22" s="155" customFormat="1" ht="27.75" hidden="1" customHeight="1">
      <c r="A59" s="161" t="s">
        <v>248</v>
      </c>
      <c r="B59" s="161" t="s">
        <v>78</v>
      </c>
      <c r="C59" s="161" t="s">
        <v>299</v>
      </c>
      <c r="D59" s="161"/>
      <c r="E59" s="161" t="s">
        <v>373</v>
      </c>
      <c r="F59" s="162" t="s">
        <v>296</v>
      </c>
      <c r="G59" s="162">
        <v>1</v>
      </c>
      <c r="H59" s="161">
        <v>26023</v>
      </c>
      <c r="I59" s="166" t="str">
        <f>INDEX('6. data thông tin nhân sự'!C:C,MATCH('03. Chi tiết TS các bộ phận'!H59,'6. data thông tin nhân sự'!B:B,0))</f>
        <v>Lê Đức Minh</v>
      </c>
      <c r="J59" s="166" t="str">
        <f>INDEX('6. data thông tin nhân sự'!G:G,MATCH('03. Chi tiết TS các bộ phận'!H59,'6. data thông tin nhân sự'!B:B,0))</f>
        <v>Sáng tạo - Creative</v>
      </c>
      <c r="K59" s="166" t="str">
        <f>INDEX('6. data thông tin nhân sự'!D:D,MATCH('03. Chi tiết TS các bộ phận'!H59,'6. data thông tin nhân sự'!B:B,0))</f>
        <v>Thử việc</v>
      </c>
      <c r="L59" s="722"/>
      <c r="M59" s="228">
        <v>46237</v>
      </c>
      <c r="N59" s="228" t="str">
        <f>INDEX('6. data thông tin nhân sự'!N:N, MATCH('03. Chi tiết TS các bộ phận'!H59, '6. data thông tin nhân sự'!B:B,0))</f>
        <v>03/08/2026</v>
      </c>
      <c r="O59" s="161" t="s">
        <v>298</v>
      </c>
      <c r="P59" s="161"/>
      <c r="Q59" s="161"/>
      <c r="R59" s="161"/>
      <c r="S59" s="161"/>
      <c r="T59" s="161"/>
      <c r="U59" s="161"/>
      <c r="V59" s="161"/>
    </row>
    <row r="60" spans="1:22" s="155" customFormat="1" ht="27.75" customHeight="1">
      <c r="A60" s="166" t="s">
        <v>392</v>
      </c>
      <c r="B60" s="166" t="s">
        <v>79</v>
      </c>
      <c r="C60" s="161"/>
      <c r="D60" s="166"/>
      <c r="E60" s="166" t="s">
        <v>373</v>
      </c>
      <c r="F60" s="162" t="s">
        <v>296</v>
      </c>
      <c r="G60" s="162">
        <v>1</v>
      </c>
      <c r="H60" s="161">
        <v>26023</v>
      </c>
      <c r="I60" s="166" t="str">
        <f>INDEX('6. data thông tin nhân sự'!C:C,MATCH('03. Chi tiết TS các bộ phận'!H60,'6. data thông tin nhân sự'!B:B,0))</f>
        <v>Lê Đức Minh</v>
      </c>
      <c r="J60" s="166" t="str">
        <f>INDEX('6. data thông tin nhân sự'!G:G,MATCH('03. Chi tiết TS các bộ phận'!H60,'6. data thông tin nhân sự'!B:B,0))</f>
        <v>Sáng tạo - Creative</v>
      </c>
      <c r="K60" s="166" t="str">
        <f>INDEX('6. data thông tin nhân sự'!D:D,MATCH('03. Chi tiết TS các bộ phận'!H60,'6. data thông tin nhân sự'!B:B,0))</f>
        <v>Thử việc</v>
      </c>
      <c r="L60" s="723"/>
      <c r="M60" s="228">
        <v>46237</v>
      </c>
      <c r="N60" s="228" t="str">
        <f>INDEX('6. data thông tin nhân sự'!N:N, MATCH('03. Chi tiết TS các bộ phận'!H60, '6. data thông tin nhân sự'!B:B,0))</f>
        <v>03/08/2026</v>
      </c>
      <c r="O60" s="161" t="s">
        <v>298</v>
      </c>
      <c r="P60" s="166"/>
      <c r="Q60" s="166"/>
      <c r="R60" s="166"/>
      <c r="S60" s="166"/>
      <c r="T60" s="166"/>
      <c r="U60" s="166"/>
      <c r="V60" s="166"/>
    </row>
    <row r="61" spans="1:22" s="155" customFormat="1" ht="87.75" hidden="1" customHeight="1">
      <c r="A61" s="163" t="s">
        <v>257</v>
      </c>
      <c r="B61" s="163" t="s">
        <v>77</v>
      </c>
      <c r="C61" s="163"/>
      <c r="D61" s="252" t="s">
        <v>393</v>
      </c>
      <c r="E61" s="163" t="s">
        <v>373</v>
      </c>
      <c r="F61" s="139" t="s">
        <v>296</v>
      </c>
      <c r="G61" s="139">
        <v>1</v>
      </c>
      <c r="H61" s="163">
        <v>26001</v>
      </c>
      <c r="I61" s="140" t="str">
        <f>INDEX('6. data thông tin nhân sự'!C:C,MATCH('03. Chi tiết TS các bộ phận'!H61,'6. data thông tin nhân sự'!B:B,0))</f>
        <v>Tô Hồng Đức</v>
      </c>
      <c r="J61" s="140" t="str">
        <f>INDEX('6. data thông tin nhân sự'!G:G,MATCH('03. Chi tiết TS các bộ phận'!H61,'6. data thông tin nhân sự'!B:B,0))</f>
        <v>Sáng tạo - Creative</v>
      </c>
      <c r="K61" s="140" t="str">
        <f>INDEX('6. data thông tin nhân sự'!D:D,MATCH('03. Chi tiết TS các bộ phận'!H61,'6. data thông tin nhân sự'!B:B,0))</f>
        <v>Chính thức</v>
      </c>
      <c r="L61" s="718" t="s">
        <v>394</v>
      </c>
      <c r="M61" s="231">
        <v>46217</v>
      </c>
      <c r="N61" s="231" t="str">
        <f>INDEX('6. data thông tin nhân sự'!N:N, MATCH('03. Chi tiết TS các bộ phận'!H61, '6. data thông tin nhân sự'!B:B,0))</f>
        <v>05/01/2026</v>
      </c>
      <c r="O61" s="163" t="s">
        <v>298</v>
      </c>
      <c r="P61" s="163"/>
      <c r="Q61" s="163"/>
      <c r="R61" s="163"/>
      <c r="S61" s="163"/>
      <c r="T61" s="163"/>
      <c r="U61" s="163"/>
      <c r="V61" s="163"/>
    </row>
    <row r="62" spans="1:22" s="155" customFormat="1" ht="27.75" hidden="1" customHeight="1">
      <c r="A62" s="163" t="s">
        <v>395</v>
      </c>
      <c r="B62" s="163" t="s">
        <v>78</v>
      </c>
      <c r="C62" s="163" t="s">
        <v>299</v>
      </c>
      <c r="D62" s="163"/>
      <c r="E62" s="163" t="s">
        <v>373</v>
      </c>
      <c r="F62" s="139" t="s">
        <v>296</v>
      </c>
      <c r="G62" s="139">
        <v>1</v>
      </c>
      <c r="H62" s="163">
        <v>26001</v>
      </c>
      <c r="I62" s="140" t="str">
        <f>INDEX('6. data thông tin nhân sự'!C:C,MATCH('03. Chi tiết TS các bộ phận'!H62,'6. data thông tin nhân sự'!B:B,0))</f>
        <v>Tô Hồng Đức</v>
      </c>
      <c r="J62" s="140" t="str">
        <f>INDEX('6. data thông tin nhân sự'!G:G,MATCH('03. Chi tiết TS các bộ phận'!H62,'6. data thông tin nhân sự'!B:B,0))</f>
        <v>Sáng tạo - Creative</v>
      </c>
      <c r="K62" s="140" t="str">
        <f>INDEX('6. data thông tin nhân sự'!D:D,MATCH('03. Chi tiết TS các bộ phận'!H62,'6. data thông tin nhân sự'!B:B,0))</f>
        <v>Chính thức</v>
      </c>
      <c r="L62" s="719"/>
      <c r="M62" s="231">
        <v>46217</v>
      </c>
      <c r="N62" s="231" t="str">
        <f>INDEX('6. data thông tin nhân sự'!N:N, MATCH('03. Chi tiết TS các bộ phận'!H62, '6. data thông tin nhân sự'!B:B,0))</f>
        <v>05/01/2026</v>
      </c>
      <c r="O62" s="163" t="s">
        <v>298</v>
      </c>
      <c r="P62" s="163"/>
      <c r="Q62" s="163"/>
      <c r="R62" s="163"/>
      <c r="S62" s="163"/>
      <c r="T62" s="163"/>
      <c r="U62" s="163"/>
      <c r="V62" s="163"/>
    </row>
    <row r="63" spans="1:22" s="155" customFormat="1" ht="27.75" hidden="1" customHeight="1">
      <c r="A63" s="163" t="s">
        <v>396</v>
      </c>
      <c r="B63" s="163" t="s">
        <v>80</v>
      </c>
      <c r="C63" s="163"/>
      <c r="D63" s="163"/>
      <c r="E63" s="163" t="s">
        <v>373</v>
      </c>
      <c r="F63" s="139" t="s">
        <v>296</v>
      </c>
      <c r="G63" s="139">
        <v>1</v>
      </c>
      <c r="H63" s="163">
        <v>26001</v>
      </c>
      <c r="I63" s="140" t="str">
        <f>INDEX('6. data thông tin nhân sự'!C:C,MATCH('03. Chi tiết TS các bộ phận'!H63,'6. data thông tin nhân sự'!B:B,0))</f>
        <v>Tô Hồng Đức</v>
      </c>
      <c r="J63" s="140" t="str">
        <f>INDEX('6. data thông tin nhân sự'!G:G,MATCH('03. Chi tiết TS các bộ phận'!H63,'6. data thông tin nhân sự'!B:B,0))</f>
        <v>Sáng tạo - Creative</v>
      </c>
      <c r="K63" s="140" t="str">
        <f>INDEX('6. data thông tin nhân sự'!D:D,MATCH('03. Chi tiết TS các bộ phận'!H63,'6. data thông tin nhân sự'!B:B,0))</f>
        <v>Chính thức</v>
      </c>
      <c r="L63" s="719"/>
      <c r="M63" s="231">
        <v>46217</v>
      </c>
      <c r="N63" s="231" t="str">
        <f>INDEX('6. data thông tin nhân sự'!N:N, MATCH('03. Chi tiết TS các bộ phận'!H63, '6. data thông tin nhân sự'!B:B,0))</f>
        <v>05/01/2026</v>
      </c>
      <c r="O63" s="163" t="s">
        <v>298</v>
      </c>
      <c r="P63" s="163"/>
      <c r="Q63" s="163"/>
      <c r="R63" s="163"/>
      <c r="S63" s="163"/>
      <c r="T63" s="163"/>
      <c r="U63" s="163"/>
      <c r="V63" s="163"/>
    </row>
    <row r="64" spans="1:22" s="155" customFormat="1" ht="27.75" customHeight="1">
      <c r="A64" s="140" t="s">
        <v>397</v>
      </c>
      <c r="B64" s="140" t="s">
        <v>79</v>
      </c>
      <c r="C64" s="163"/>
      <c r="D64" s="140"/>
      <c r="E64" s="163" t="s">
        <v>373</v>
      </c>
      <c r="F64" s="139" t="s">
        <v>296</v>
      </c>
      <c r="G64" s="139">
        <v>1</v>
      </c>
      <c r="H64" s="163">
        <v>26001</v>
      </c>
      <c r="I64" s="140" t="str">
        <f>INDEX('6. data thông tin nhân sự'!C:C,MATCH('03. Chi tiết TS các bộ phận'!H64,'6. data thông tin nhân sự'!B:B,0))</f>
        <v>Tô Hồng Đức</v>
      </c>
      <c r="J64" s="140" t="str">
        <f>INDEX('6. data thông tin nhân sự'!G:G,MATCH('03. Chi tiết TS các bộ phận'!H64,'6. data thông tin nhân sự'!B:B,0))</f>
        <v>Sáng tạo - Creative</v>
      </c>
      <c r="K64" s="140" t="str">
        <f>INDEX('6. data thông tin nhân sự'!D:D,MATCH('03. Chi tiết TS các bộ phận'!H64,'6. data thông tin nhân sự'!B:B,0))</f>
        <v>Chính thức</v>
      </c>
      <c r="L64" s="720"/>
      <c r="M64" s="231">
        <v>46237</v>
      </c>
      <c r="N64" s="231" t="str">
        <f>INDEX('6. data thông tin nhân sự'!N:N, MATCH('03. Chi tiết TS các bộ phận'!H64, '6. data thông tin nhân sự'!B:B,0))</f>
        <v>05/01/2026</v>
      </c>
      <c r="O64" s="163" t="s">
        <v>298</v>
      </c>
      <c r="P64" s="163"/>
      <c r="Q64" s="163"/>
      <c r="R64" s="163"/>
      <c r="S64" s="163"/>
      <c r="T64" s="163"/>
      <c r="U64" s="163"/>
      <c r="V64" s="163"/>
    </row>
    <row r="65" spans="1:22" s="155" customFormat="1" ht="97.5" hidden="1" customHeight="1">
      <c r="A65" s="161" t="s">
        <v>398</v>
      </c>
      <c r="B65" s="161" t="s">
        <v>76</v>
      </c>
      <c r="C65" s="161"/>
      <c r="D65" s="236" t="s">
        <v>399</v>
      </c>
      <c r="E65" s="161" t="s">
        <v>366</v>
      </c>
      <c r="F65" s="162" t="s">
        <v>296</v>
      </c>
      <c r="G65" s="162">
        <v>1</v>
      </c>
      <c r="H65" s="161">
        <v>25042</v>
      </c>
      <c r="I65" s="166" t="str">
        <f>INDEX('6. data thông tin nhân sự'!C:C,MATCH('03. Chi tiết TS các bộ phận'!H65,'6. data thông tin nhân sự'!B:B,0))</f>
        <v>Nguyễn Thị Thu Giang</v>
      </c>
      <c r="J65" s="166" t="str">
        <f>INDEX('6. data thông tin nhân sự'!G:G,MATCH('03. Chi tiết TS các bộ phận'!H65,'6. data thông tin nhân sự'!B:B,0))</f>
        <v>Sáng tạo - Creative</v>
      </c>
      <c r="K65" s="166" t="str">
        <f>INDEX('6. data thông tin nhân sự'!D:D,MATCH('03. Chi tiết TS các bộ phận'!H65,'6. data thông tin nhân sự'!B:B,0))</f>
        <v>Chính thức</v>
      </c>
      <c r="L65" s="721" t="s">
        <v>400</v>
      </c>
      <c r="M65" s="228">
        <v>46217</v>
      </c>
      <c r="N65" s="228" t="str">
        <f>INDEX('6. data thông tin nhân sự'!N:N, MATCH('03. Chi tiết TS các bộ phận'!H65, '6. data thông tin nhân sự'!B:B,0))</f>
        <v>01/12/2025</v>
      </c>
      <c r="O65" s="161" t="s">
        <v>298</v>
      </c>
      <c r="P65" s="161" t="s">
        <v>368</v>
      </c>
      <c r="Q65" s="161"/>
      <c r="R65" s="161" t="s">
        <v>401</v>
      </c>
      <c r="S65" s="161" t="s">
        <v>402</v>
      </c>
      <c r="T65" s="229" t="s">
        <v>403</v>
      </c>
      <c r="U65" s="229"/>
      <c r="V65" s="229"/>
    </row>
    <row r="66" spans="1:22" s="155" customFormat="1" ht="27.75" hidden="1" customHeight="1">
      <c r="A66" s="156" t="s">
        <v>322</v>
      </c>
      <c r="B66" s="161" t="s">
        <v>404</v>
      </c>
      <c r="C66" s="161"/>
      <c r="D66" s="166"/>
      <c r="E66" s="161" t="s">
        <v>373</v>
      </c>
      <c r="F66" s="162" t="s">
        <v>296</v>
      </c>
      <c r="G66" s="162">
        <v>1</v>
      </c>
      <c r="H66" s="161">
        <v>25042</v>
      </c>
      <c r="I66" s="166" t="str">
        <f>INDEX('6. data thông tin nhân sự'!C:C,MATCH('03. Chi tiết TS các bộ phận'!H66,'6. data thông tin nhân sự'!B:B,0))</f>
        <v>Nguyễn Thị Thu Giang</v>
      </c>
      <c r="J66" s="166" t="str">
        <f>INDEX('6. data thông tin nhân sự'!G:G,MATCH('03. Chi tiết TS các bộ phận'!H66,'6. data thông tin nhân sự'!B:B,0))</f>
        <v>Sáng tạo - Creative</v>
      </c>
      <c r="K66" s="166" t="str">
        <f>INDEX('6. data thông tin nhân sự'!D:D,MATCH('03. Chi tiết TS các bộ phận'!H66,'6. data thông tin nhân sự'!B:B,0))</f>
        <v>Chính thức</v>
      </c>
      <c r="L66" s="723"/>
      <c r="M66" s="228">
        <v>46217</v>
      </c>
      <c r="N66" s="228" t="str">
        <f>INDEX('6. data thông tin nhân sự'!N:N, MATCH('03. Chi tiết TS các bộ phận'!H66, '6. data thông tin nhân sự'!B:B,0))</f>
        <v>01/12/2025</v>
      </c>
      <c r="O66" s="161" t="s">
        <v>298</v>
      </c>
      <c r="P66" s="161"/>
      <c r="Q66" s="161"/>
      <c r="R66" s="161"/>
      <c r="S66" s="161"/>
      <c r="T66" s="161"/>
      <c r="U66" s="161"/>
      <c r="V66" s="161"/>
    </row>
    <row r="67" spans="1:22" s="155" customFormat="1" ht="27.75" hidden="1" customHeight="1">
      <c r="A67" s="157" t="s">
        <v>405</v>
      </c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9"/>
      <c r="N67" s="159"/>
      <c r="O67" s="158"/>
      <c r="P67" s="158"/>
      <c r="Q67" s="158"/>
      <c r="R67" s="189"/>
      <c r="S67" s="189"/>
      <c r="T67" s="189"/>
      <c r="U67" s="189"/>
      <c r="V67" s="189"/>
    </row>
    <row r="68" spans="1:22" s="155" customFormat="1" ht="90" hidden="1" customHeight="1">
      <c r="A68" s="163" t="s">
        <v>406</v>
      </c>
      <c r="B68" s="163" t="s">
        <v>77</v>
      </c>
      <c r="C68" s="163"/>
      <c r="D68" s="252" t="s">
        <v>407</v>
      </c>
      <c r="E68" s="163" t="s">
        <v>408</v>
      </c>
      <c r="F68" s="139" t="s">
        <v>296</v>
      </c>
      <c r="G68" s="139">
        <v>1</v>
      </c>
      <c r="H68" s="163">
        <v>24001</v>
      </c>
      <c r="I68" s="140" t="str">
        <f>INDEX('6. data thông tin nhân sự'!C:C,MATCH('03. Chi tiết TS các bộ phận'!H68,'6. data thông tin nhân sự'!B:B,0))</f>
        <v>Lê Lâm Cường</v>
      </c>
      <c r="J68" s="140" t="str">
        <f>INDEX('6. data thông tin nhân sự'!G:G,MATCH('03. Chi tiết TS các bộ phận'!H68,'6. data thông tin nhân sự'!B:B,0))</f>
        <v>Sự kiện - Event</v>
      </c>
      <c r="K68" s="140" t="str">
        <f>INDEX('6. data thông tin nhân sự'!D:D,MATCH('03. Chi tiết TS các bộ phận'!H68,'6. data thông tin nhân sự'!B:B,0))</f>
        <v xml:space="preserve">Nghỉ việc </v>
      </c>
      <c r="L68" s="718" t="s">
        <v>409</v>
      </c>
      <c r="M68" s="231">
        <v>46204</v>
      </c>
      <c r="N68" s="231" t="str">
        <f>INDEX('6. data thông tin nhân sự'!N:N, MATCH('03. Chi tiết TS các bộ phận'!H68, '6. data thông tin nhân sự'!B:B,0))</f>
        <v>01/04/2024</v>
      </c>
      <c r="O68" s="163" t="s">
        <v>298</v>
      </c>
      <c r="P68" s="149"/>
      <c r="Q68" s="149"/>
      <c r="R68" s="149"/>
      <c r="S68" s="149"/>
      <c r="T68" s="149"/>
      <c r="U68" s="149"/>
      <c r="V68" s="149"/>
    </row>
    <row r="69" spans="1:22" s="155" customFormat="1" ht="27.75" hidden="1" customHeight="1">
      <c r="A69" s="163" t="s">
        <v>410</v>
      </c>
      <c r="B69" s="163" t="s">
        <v>78</v>
      </c>
      <c r="C69" s="163" t="s">
        <v>299</v>
      </c>
      <c r="D69" s="163"/>
      <c r="E69" s="163" t="s">
        <v>408</v>
      </c>
      <c r="F69" s="139" t="s">
        <v>296</v>
      </c>
      <c r="G69" s="139">
        <v>1</v>
      </c>
      <c r="H69" s="163">
        <v>24001</v>
      </c>
      <c r="I69" s="140" t="str">
        <f>INDEX('6. data thông tin nhân sự'!C:C,MATCH('03. Chi tiết TS các bộ phận'!H69,'6. data thông tin nhân sự'!B:B,0))</f>
        <v>Lê Lâm Cường</v>
      </c>
      <c r="J69" s="140" t="str">
        <f>INDEX('6. data thông tin nhân sự'!G:G,MATCH('03. Chi tiết TS các bộ phận'!H69,'6. data thông tin nhân sự'!B:B,0))</f>
        <v>Sự kiện - Event</v>
      </c>
      <c r="K69" s="140" t="str">
        <f>INDEX('6. data thông tin nhân sự'!D:D,MATCH('03. Chi tiết TS các bộ phận'!H69,'6. data thông tin nhân sự'!B:B,0))</f>
        <v xml:space="preserve">Nghỉ việc </v>
      </c>
      <c r="L69" s="719"/>
      <c r="M69" s="231">
        <v>46204</v>
      </c>
      <c r="N69" s="231" t="str">
        <f>INDEX('6. data thông tin nhân sự'!N:N, MATCH('03. Chi tiết TS các bộ phận'!H69, '6. data thông tin nhân sự'!B:B,0))</f>
        <v>01/04/2024</v>
      </c>
      <c r="O69" s="163" t="s">
        <v>298</v>
      </c>
      <c r="P69" s="149"/>
      <c r="Q69" s="149"/>
      <c r="R69" s="149"/>
      <c r="S69" s="149"/>
      <c r="T69" s="149"/>
      <c r="U69" s="149"/>
      <c r="V69" s="149"/>
    </row>
    <row r="70" spans="1:22" s="155" customFormat="1" ht="72" hidden="1" customHeight="1">
      <c r="A70" s="163" t="s">
        <v>411</v>
      </c>
      <c r="B70" s="163" t="s">
        <v>76</v>
      </c>
      <c r="C70" s="163" t="s">
        <v>412</v>
      </c>
      <c r="D70" s="252" t="s">
        <v>413</v>
      </c>
      <c r="E70" s="163" t="s">
        <v>408</v>
      </c>
      <c r="F70" s="150" t="s">
        <v>296</v>
      </c>
      <c r="G70" s="150">
        <v>1</v>
      </c>
      <c r="H70" s="163">
        <v>24001</v>
      </c>
      <c r="I70" s="140" t="str">
        <f>INDEX('6. data thông tin nhân sự'!C:C,MATCH('03. Chi tiết TS các bộ phận'!H70,'6. data thông tin nhân sự'!B:B,0))</f>
        <v>Lê Lâm Cường</v>
      </c>
      <c r="J70" s="140" t="str">
        <f>INDEX('6. data thông tin nhân sự'!G:G,MATCH('03. Chi tiết TS các bộ phận'!H70,'6. data thông tin nhân sự'!B:B,0))</f>
        <v>Sự kiện - Event</v>
      </c>
      <c r="K70" s="140" t="str">
        <f>INDEX('6. data thông tin nhân sự'!D:D,MATCH('03. Chi tiết TS các bộ phận'!H70,'6. data thông tin nhân sự'!B:B,0))</f>
        <v xml:space="preserve">Nghỉ việc </v>
      </c>
      <c r="L70" s="720"/>
      <c r="M70" s="231">
        <v>46204</v>
      </c>
      <c r="N70" s="231" t="str">
        <f>INDEX('6. data thông tin nhân sự'!N:N, MATCH('03. Chi tiết TS các bộ phận'!H70, '6. data thông tin nhân sự'!B:B,0))</f>
        <v>01/04/2024</v>
      </c>
      <c r="O70" s="140" t="s">
        <v>298</v>
      </c>
      <c r="P70" s="149" t="s">
        <v>368</v>
      </c>
      <c r="Q70" s="179" t="s">
        <v>414</v>
      </c>
      <c r="R70" s="149"/>
      <c r="S70" s="149"/>
      <c r="T70" s="179"/>
      <c r="U70" s="179"/>
      <c r="V70" s="179"/>
    </row>
    <row r="71" spans="1:22" s="155" customFormat="1" ht="77.25" hidden="1" customHeight="1">
      <c r="A71" s="161" t="s">
        <v>134</v>
      </c>
      <c r="B71" s="161" t="s">
        <v>77</v>
      </c>
      <c r="C71" s="161"/>
      <c r="D71" s="236" t="s">
        <v>415</v>
      </c>
      <c r="E71" s="161" t="s">
        <v>408</v>
      </c>
      <c r="F71" s="162" t="s">
        <v>296</v>
      </c>
      <c r="G71" s="162">
        <v>1</v>
      </c>
      <c r="H71" s="161">
        <v>22001</v>
      </c>
      <c r="I71" s="166" t="str">
        <f>INDEX('6. data thông tin nhân sự'!C:C,MATCH('03. Chi tiết TS các bộ phận'!H71,'6. data thông tin nhân sự'!B:B,0))</f>
        <v>Bùi Xuân Dân</v>
      </c>
      <c r="J71" s="166" t="str">
        <f>INDEX('6. data thông tin nhân sự'!G:G,MATCH('03. Chi tiết TS các bộ phận'!H71,'6. data thông tin nhân sự'!B:B,0))</f>
        <v>Sự kiện - Event</v>
      </c>
      <c r="K71" s="166" t="str">
        <f>INDEX('6. data thông tin nhân sự'!D:D,MATCH('03. Chi tiết TS các bộ phận'!H71,'6. data thông tin nhân sự'!B:B,0))</f>
        <v>Chính thức</v>
      </c>
      <c r="L71" s="726" t="s">
        <v>416</v>
      </c>
      <c r="M71" s="228">
        <v>46204</v>
      </c>
      <c r="N71" s="228">
        <v>45931</v>
      </c>
      <c r="O71" s="161" t="s">
        <v>298</v>
      </c>
      <c r="P71" s="737" t="s">
        <v>121</v>
      </c>
      <c r="Q71" s="161" t="s">
        <v>417</v>
      </c>
      <c r="R71" s="161"/>
      <c r="S71" s="161"/>
      <c r="T71" s="161"/>
      <c r="U71" s="161"/>
      <c r="V71" s="161"/>
    </row>
    <row r="72" spans="1:22" s="155" customFormat="1" ht="27.75" hidden="1" customHeight="1">
      <c r="A72" s="161" t="s">
        <v>138</v>
      </c>
      <c r="B72" s="161" t="s">
        <v>78</v>
      </c>
      <c r="C72" s="161" t="s">
        <v>299</v>
      </c>
      <c r="D72" s="161"/>
      <c r="E72" s="161" t="s">
        <v>408</v>
      </c>
      <c r="F72" s="162" t="s">
        <v>296</v>
      </c>
      <c r="G72" s="162">
        <v>1</v>
      </c>
      <c r="H72" s="161">
        <v>22001</v>
      </c>
      <c r="I72" s="166" t="str">
        <f>INDEX('6. data thông tin nhân sự'!C:C,MATCH('03. Chi tiết TS các bộ phận'!H72,'6. data thông tin nhân sự'!B:B,0))</f>
        <v>Bùi Xuân Dân</v>
      </c>
      <c r="J72" s="166" t="str">
        <f>INDEX('6. data thông tin nhân sự'!G:G,MATCH('03. Chi tiết TS các bộ phận'!H72,'6. data thông tin nhân sự'!B:B,0))</f>
        <v>Sự kiện - Event</v>
      </c>
      <c r="K72" s="166" t="str">
        <f>INDEX('6. data thông tin nhân sự'!D:D,MATCH('03. Chi tiết TS các bộ phận'!H72,'6. data thông tin nhân sự'!B:B,0))</f>
        <v>Chính thức</v>
      </c>
      <c r="L72" s="726"/>
      <c r="M72" s="228">
        <v>46204</v>
      </c>
      <c r="N72" s="228">
        <v>45931</v>
      </c>
      <c r="O72" s="161" t="s">
        <v>298</v>
      </c>
      <c r="P72" s="739"/>
      <c r="Q72" s="161" t="s">
        <v>418</v>
      </c>
      <c r="R72" s="161"/>
      <c r="S72" s="161"/>
      <c r="T72" s="161"/>
      <c r="U72" s="161"/>
      <c r="V72" s="161"/>
    </row>
    <row r="73" spans="1:22" s="155" customFormat="1" ht="77.25" hidden="1" customHeight="1">
      <c r="A73" s="163" t="s">
        <v>419</v>
      </c>
      <c r="B73" s="163" t="s">
        <v>77</v>
      </c>
      <c r="C73" s="163"/>
      <c r="D73" s="252" t="s">
        <v>420</v>
      </c>
      <c r="E73" s="163" t="s">
        <v>408</v>
      </c>
      <c r="F73" s="139" t="s">
        <v>296</v>
      </c>
      <c r="G73" s="139">
        <v>1</v>
      </c>
      <c r="H73" s="163">
        <v>23008</v>
      </c>
      <c r="I73" s="140" t="str">
        <f>INDEX('6. data thông tin nhân sự'!C:C,MATCH('03. Chi tiết TS các bộ phận'!H73,'6. data thông tin nhân sự'!B:B,0))</f>
        <v>Hoàng Hà Giang</v>
      </c>
      <c r="J73" s="140" t="str">
        <f>INDEX('6. data thông tin nhân sự'!G:G,MATCH('03. Chi tiết TS các bộ phận'!H73,'6. data thông tin nhân sự'!B:B,0))</f>
        <v>Sự kiện - Event</v>
      </c>
      <c r="K73" s="140" t="str">
        <f>INDEX('6. data thông tin nhân sự'!D:D,MATCH('03. Chi tiết TS các bộ phận'!H73,'6. data thông tin nhân sự'!B:B,0))</f>
        <v>Chính thức</v>
      </c>
      <c r="L73" s="718" t="s">
        <v>421</v>
      </c>
      <c r="M73" s="231">
        <v>46204</v>
      </c>
      <c r="N73" s="231" t="str">
        <f>INDEX('6. data thông tin nhân sự'!N:N, MATCH('03. Chi tiết TS các bộ phận'!H73, '6. data thông tin nhân sự'!B:B,0))</f>
        <v>01/12/2023</v>
      </c>
      <c r="O73" s="163" t="s">
        <v>298</v>
      </c>
      <c r="P73" s="149"/>
      <c r="Q73" s="149"/>
      <c r="R73" s="149"/>
      <c r="S73" s="149"/>
      <c r="T73" s="149"/>
      <c r="U73" s="149"/>
      <c r="V73" s="149"/>
    </row>
    <row r="74" spans="1:22" s="155" customFormat="1" ht="27.75" hidden="1" customHeight="1">
      <c r="A74" s="163" t="s">
        <v>422</v>
      </c>
      <c r="B74" s="163" t="s">
        <v>78</v>
      </c>
      <c r="C74" s="163" t="s">
        <v>299</v>
      </c>
      <c r="D74" s="163"/>
      <c r="E74" s="163" t="s">
        <v>408</v>
      </c>
      <c r="F74" s="139" t="s">
        <v>296</v>
      </c>
      <c r="G74" s="139">
        <v>1</v>
      </c>
      <c r="H74" s="163">
        <v>23008</v>
      </c>
      <c r="I74" s="140" t="str">
        <f>INDEX('6. data thông tin nhân sự'!C:C,MATCH('03. Chi tiết TS các bộ phận'!H74,'6. data thông tin nhân sự'!B:B,0))</f>
        <v>Hoàng Hà Giang</v>
      </c>
      <c r="J74" s="140" t="str">
        <f>INDEX('6. data thông tin nhân sự'!G:G,MATCH('03. Chi tiết TS các bộ phận'!H74,'6. data thông tin nhân sự'!B:B,0))</f>
        <v>Sự kiện - Event</v>
      </c>
      <c r="K74" s="140" t="str">
        <f>INDEX('6. data thông tin nhân sự'!D:D,MATCH('03. Chi tiết TS các bộ phận'!H74,'6. data thông tin nhân sự'!B:B,0))</f>
        <v>Chính thức</v>
      </c>
      <c r="L74" s="720"/>
      <c r="M74" s="231">
        <v>46204</v>
      </c>
      <c r="N74" s="231" t="str">
        <f>INDEX('6. data thông tin nhân sự'!N:N, MATCH('03. Chi tiết TS các bộ phận'!H74, '6. data thông tin nhân sự'!B:B,0))</f>
        <v>01/12/2023</v>
      </c>
      <c r="O74" s="163" t="s">
        <v>298</v>
      </c>
      <c r="P74" s="149"/>
      <c r="Q74" s="149"/>
      <c r="R74" s="149"/>
      <c r="S74" s="149"/>
      <c r="T74" s="149"/>
      <c r="U74" s="149"/>
      <c r="V74" s="149"/>
    </row>
    <row r="75" spans="1:22" s="155" customFormat="1" ht="84.75" hidden="1" customHeight="1">
      <c r="A75" s="161" t="s">
        <v>423</v>
      </c>
      <c r="B75" s="161" t="s">
        <v>77</v>
      </c>
      <c r="C75" s="161"/>
      <c r="D75" s="236" t="s">
        <v>424</v>
      </c>
      <c r="E75" s="161" t="s">
        <v>408</v>
      </c>
      <c r="F75" s="162" t="s">
        <v>296</v>
      </c>
      <c r="G75" s="162">
        <v>1</v>
      </c>
      <c r="H75" s="161">
        <v>25028</v>
      </c>
      <c r="I75" s="166" t="str">
        <f>INDEX('6. data thông tin nhân sự'!C:C,MATCH('03. Chi tiết TS các bộ phận'!H75,'6. data thông tin nhân sự'!B:B,0))</f>
        <v>Nguyễn Phương Anh</v>
      </c>
      <c r="J75" s="166" t="str">
        <f>INDEX('6. data thông tin nhân sự'!G:G,MATCH('03. Chi tiết TS các bộ phận'!H75,'6. data thông tin nhân sự'!B:B,0))</f>
        <v>Sự kiện - Event</v>
      </c>
      <c r="K75" s="166" t="str">
        <f>INDEX('6. data thông tin nhân sự'!D:D,MATCH('03. Chi tiết TS các bộ phận'!H75,'6. data thông tin nhân sự'!B:B,0))</f>
        <v>Chính thức</v>
      </c>
      <c r="L75" s="721" t="s">
        <v>425</v>
      </c>
      <c r="M75" s="228">
        <v>46204</v>
      </c>
      <c r="N75" s="228" t="str">
        <f>INDEX('6. data thông tin nhân sự'!N:N, MATCH('03. Chi tiết TS các bộ phận'!H75, '6. data thông tin nhân sự'!B:B,0))</f>
        <v>04/08/2025</v>
      </c>
      <c r="O75" s="161" t="s">
        <v>298</v>
      </c>
      <c r="P75" s="161"/>
      <c r="Q75" s="161"/>
      <c r="R75" s="161"/>
      <c r="S75" s="161"/>
      <c r="T75" s="161"/>
      <c r="U75" s="161"/>
      <c r="V75" s="161"/>
    </row>
    <row r="76" spans="1:22" s="155" customFormat="1" ht="27.75" hidden="1" customHeight="1">
      <c r="A76" s="161" t="s">
        <v>426</v>
      </c>
      <c r="B76" s="161" t="s">
        <v>78</v>
      </c>
      <c r="C76" s="161" t="s">
        <v>299</v>
      </c>
      <c r="D76" s="161"/>
      <c r="E76" s="161" t="s">
        <v>408</v>
      </c>
      <c r="F76" s="162" t="s">
        <v>296</v>
      </c>
      <c r="G76" s="162">
        <v>1</v>
      </c>
      <c r="H76" s="161">
        <v>25028</v>
      </c>
      <c r="I76" s="166" t="str">
        <f>INDEX('6. data thông tin nhân sự'!C:C,MATCH('03. Chi tiết TS các bộ phận'!H76,'6. data thông tin nhân sự'!B:B,0))</f>
        <v>Nguyễn Phương Anh</v>
      </c>
      <c r="J76" s="166" t="str">
        <f>INDEX('6. data thông tin nhân sự'!G:G,MATCH('03. Chi tiết TS các bộ phận'!H76,'6. data thông tin nhân sự'!B:B,0))</f>
        <v>Sự kiện - Event</v>
      </c>
      <c r="K76" s="166" t="str">
        <f>INDEX('6. data thông tin nhân sự'!D:D,MATCH('03. Chi tiết TS các bộ phận'!H76,'6. data thông tin nhân sự'!B:B,0))</f>
        <v>Chính thức</v>
      </c>
      <c r="L76" s="722"/>
      <c r="M76" s="228">
        <v>46204</v>
      </c>
      <c r="N76" s="228" t="str">
        <f>INDEX('6. data thông tin nhân sự'!N:N, MATCH('03. Chi tiết TS các bộ phận'!H76, '6. data thông tin nhân sự'!B:B,0))</f>
        <v>04/08/2025</v>
      </c>
      <c r="O76" s="161" t="s">
        <v>298</v>
      </c>
      <c r="P76" s="161"/>
      <c r="Q76" s="161"/>
      <c r="R76" s="161"/>
      <c r="S76" s="161"/>
      <c r="T76" s="161"/>
      <c r="U76" s="161"/>
      <c r="V76" s="161"/>
    </row>
    <row r="77" spans="1:22" s="155" customFormat="1" ht="27.75" customHeight="1">
      <c r="A77" s="161" t="s">
        <v>427</v>
      </c>
      <c r="B77" s="161" t="s">
        <v>79</v>
      </c>
      <c r="C77" s="161"/>
      <c r="D77" s="161"/>
      <c r="E77" s="161" t="s">
        <v>408</v>
      </c>
      <c r="F77" s="162" t="s">
        <v>296</v>
      </c>
      <c r="G77" s="162">
        <v>1</v>
      </c>
      <c r="H77" s="161">
        <v>25028</v>
      </c>
      <c r="I77" s="166" t="str">
        <f>INDEX('6. data thông tin nhân sự'!C:C,MATCH('03. Chi tiết TS các bộ phận'!H77,'6. data thông tin nhân sự'!B:B,0))</f>
        <v>Nguyễn Phương Anh</v>
      </c>
      <c r="J77" s="166" t="str">
        <f>INDEX('6. data thông tin nhân sự'!G:G,MATCH('03. Chi tiết TS các bộ phận'!H77,'6. data thông tin nhân sự'!B:B,0))</f>
        <v>Sự kiện - Event</v>
      </c>
      <c r="K77" s="166" t="str">
        <f>INDEX('6. data thông tin nhân sự'!D:D,MATCH('03. Chi tiết TS các bộ phận'!H77,'6. data thông tin nhân sự'!B:B,0))</f>
        <v>Chính thức</v>
      </c>
      <c r="L77" s="723"/>
      <c r="M77" s="228">
        <v>46204</v>
      </c>
      <c r="N77" s="228" t="str">
        <f>INDEX('6. data thông tin nhân sự'!N:N, MATCH('03. Chi tiết TS các bộ phận'!H77, '6. data thông tin nhân sự'!B:B,0))</f>
        <v>04/08/2025</v>
      </c>
      <c r="O77" s="161" t="s">
        <v>298</v>
      </c>
      <c r="P77" s="161"/>
      <c r="Q77" s="161"/>
      <c r="R77" s="161"/>
      <c r="S77" s="161"/>
      <c r="T77" s="161"/>
      <c r="U77" s="161"/>
      <c r="V77" s="161"/>
    </row>
    <row r="78" spans="1:22" s="155" customFormat="1" ht="79.5" hidden="1" customHeight="1">
      <c r="A78" s="163" t="s">
        <v>428</v>
      </c>
      <c r="B78" s="163" t="s">
        <v>77</v>
      </c>
      <c r="C78" s="163"/>
      <c r="D78" s="252" t="s">
        <v>429</v>
      </c>
      <c r="E78" s="163" t="s">
        <v>408</v>
      </c>
      <c r="F78" s="139" t="s">
        <v>296</v>
      </c>
      <c r="G78" s="139">
        <v>1</v>
      </c>
      <c r="H78" s="163">
        <v>25012</v>
      </c>
      <c r="I78" s="140" t="str">
        <f>INDEX('6. data thông tin nhân sự'!C:C,MATCH('03. Chi tiết TS các bộ phận'!H78,'6. data thông tin nhân sự'!B:B,0))</f>
        <v>Dương Nguyên Bảo</v>
      </c>
      <c r="J78" s="140" t="str">
        <f>INDEX('6. data thông tin nhân sự'!G:G,MATCH('03. Chi tiết TS các bộ phận'!H78,'6. data thông tin nhân sự'!B:B,0))</f>
        <v>Sự kiện - Event</v>
      </c>
      <c r="K78" s="140" t="str">
        <f>INDEX('6. data thông tin nhân sự'!D:D,MATCH('03. Chi tiết TS các bộ phận'!H78,'6. data thông tin nhân sự'!B:B,0))</f>
        <v>Chính thức</v>
      </c>
      <c r="L78" s="718" t="s">
        <v>430</v>
      </c>
      <c r="M78" s="231">
        <v>46204</v>
      </c>
      <c r="N78" s="231" t="str">
        <f>INDEX('6. data thông tin nhân sự'!N:N, MATCH('03. Chi tiết TS các bộ phận'!H78, '6. data thông tin nhân sự'!B:B,0))</f>
        <v>09/06/2025</v>
      </c>
      <c r="O78" s="163" t="s">
        <v>298</v>
      </c>
      <c r="P78" s="140"/>
      <c r="Q78" s="165"/>
      <c r="R78" s="165"/>
      <c r="S78" s="165"/>
      <c r="T78" s="165"/>
      <c r="U78" s="165"/>
      <c r="V78" s="165"/>
    </row>
    <row r="79" spans="1:22" s="155" customFormat="1" ht="27.75" hidden="1" customHeight="1">
      <c r="A79" s="163" t="s">
        <v>431</v>
      </c>
      <c r="B79" s="163" t="s">
        <v>78</v>
      </c>
      <c r="C79" s="163" t="s">
        <v>299</v>
      </c>
      <c r="D79" s="163"/>
      <c r="E79" s="163" t="s">
        <v>408</v>
      </c>
      <c r="F79" s="139" t="s">
        <v>296</v>
      </c>
      <c r="G79" s="139">
        <v>1</v>
      </c>
      <c r="H79" s="163">
        <v>25012</v>
      </c>
      <c r="I79" s="140" t="str">
        <f>INDEX('6. data thông tin nhân sự'!C:C,MATCH('03. Chi tiết TS các bộ phận'!H79,'6. data thông tin nhân sự'!B:B,0))</f>
        <v>Dương Nguyên Bảo</v>
      </c>
      <c r="J79" s="140" t="str">
        <f>INDEX('6. data thông tin nhân sự'!G:G,MATCH('03. Chi tiết TS các bộ phận'!H79,'6. data thông tin nhân sự'!B:B,0))</f>
        <v>Sự kiện - Event</v>
      </c>
      <c r="K79" s="140" t="str">
        <f>INDEX('6. data thông tin nhân sự'!D:D,MATCH('03. Chi tiết TS các bộ phận'!H79,'6. data thông tin nhân sự'!B:B,0))</f>
        <v>Chính thức</v>
      </c>
      <c r="L79" s="719"/>
      <c r="M79" s="231">
        <v>46204</v>
      </c>
      <c r="N79" s="231" t="str">
        <f>INDEX('6. data thông tin nhân sự'!N:N, MATCH('03. Chi tiết TS các bộ phận'!H79, '6. data thông tin nhân sự'!B:B,0))</f>
        <v>09/06/2025</v>
      </c>
      <c r="O79" s="163" t="s">
        <v>298</v>
      </c>
      <c r="P79" s="140"/>
      <c r="Q79" s="165"/>
      <c r="R79" s="165"/>
      <c r="S79" s="165"/>
      <c r="T79" s="165"/>
      <c r="U79" s="165"/>
      <c r="V79" s="165"/>
    </row>
    <row r="80" spans="1:22" s="155" customFormat="1" ht="27.75" hidden="1" customHeight="1">
      <c r="A80" s="163" t="s">
        <v>432</v>
      </c>
      <c r="B80" s="163" t="s">
        <v>80</v>
      </c>
      <c r="C80" s="163"/>
      <c r="D80" s="163"/>
      <c r="E80" s="163" t="s">
        <v>408</v>
      </c>
      <c r="F80" s="139" t="s">
        <v>296</v>
      </c>
      <c r="G80" s="139">
        <v>1</v>
      </c>
      <c r="H80" s="163">
        <v>25012</v>
      </c>
      <c r="I80" s="140" t="str">
        <f>INDEX('6. data thông tin nhân sự'!C:C,MATCH('03. Chi tiết TS các bộ phận'!H80,'6. data thông tin nhân sự'!B:B,0))</f>
        <v>Dương Nguyên Bảo</v>
      </c>
      <c r="J80" s="140" t="str">
        <f>INDEX('6. data thông tin nhân sự'!G:G,MATCH('03. Chi tiết TS các bộ phận'!H80,'6. data thông tin nhân sự'!B:B,0))</f>
        <v>Sự kiện - Event</v>
      </c>
      <c r="K80" s="140" t="str">
        <f>INDEX('6. data thông tin nhân sự'!D:D,MATCH('03. Chi tiết TS các bộ phận'!H80,'6. data thông tin nhân sự'!B:B,0))</f>
        <v>Chính thức</v>
      </c>
      <c r="L80" s="719"/>
      <c r="M80" s="231">
        <v>46204</v>
      </c>
      <c r="N80" s="231" t="str">
        <f>INDEX('6. data thông tin nhân sự'!N:N, MATCH('03. Chi tiết TS các bộ phận'!H80, '6. data thông tin nhân sự'!B:B,0))</f>
        <v>09/06/2025</v>
      </c>
      <c r="O80" s="163" t="s">
        <v>298</v>
      </c>
      <c r="P80" s="163"/>
      <c r="Q80" s="149"/>
      <c r="R80" s="149"/>
      <c r="S80" s="149"/>
      <c r="T80" s="149"/>
      <c r="U80" s="149"/>
      <c r="V80" s="149"/>
    </row>
    <row r="81" spans="1:22" s="155" customFormat="1" ht="27.75" customHeight="1">
      <c r="A81" s="140" t="s">
        <v>433</v>
      </c>
      <c r="B81" s="140" t="s">
        <v>79</v>
      </c>
      <c r="C81" s="140"/>
      <c r="D81" s="140"/>
      <c r="E81" s="140" t="s">
        <v>408</v>
      </c>
      <c r="F81" s="139" t="s">
        <v>296</v>
      </c>
      <c r="G81" s="139">
        <v>1</v>
      </c>
      <c r="H81" s="163">
        <v>25012</v>
      </c>
      <c r="I81" s="140" t="str">
        <f>INDEX('6. data thông tin nhân sự'!C:C,MATCH('03. Chi tiết TS các bộ phận'!H81,'6. data thông tin nhân sự'!B:B,0))</f>
        <v>Dương Nguyên Bảo</v>
      </c>
      <c r="J81" s="140" t="str">
        <f>INDEX('6. data thông tin nhân sự'!G:G,MATCH('03. Chi tiết TS các bộ phận'!H81,'6. data thông tin nhân sự'!B:B,0))</f>
        <v>Sự kiện - Event</v>
      </c>
      <c r="K81" s="140" t="str">
        <f>INDEX('6. data thông tin nhân sự'!D:D,MATCH('03. Chi tiết TS các bộ phận'!H81,'6. data thông tin nhân sự'!B:B,0))</f>
        <v>Chính thức</v>
      </c>
      <c r="L81" s="720"/>
      <c r="M81" s="231">
        <v>46204</v>
      </c>
      <c r="N81" s="231" t="str">
        <f>INDEX('6. data thông tin nhân sự'!N:N, MATCH('03. Chi tiết TS các bộ phận'!H81, '6. data thông tin nhân sự'!B:B,0))</f>
        <v>09/06/2025</v>
      </c>
      <c r="O81" s="163" t="s">
        <v>298</v>
      </c>
      <c r="P81" s="140"/>
      <c r="Q81" s="165"/>
      <c r="R81" s="165"/>
      <c r="S81" s="165"/>
      <c r="T81" s="165"/>
      <c r="U81" s="165"/>
      <c r="V81" s="165"/>
    </row>
    <row r="82" spans="1:22" s="155" customFormat="1" ht="85.5" hidden="1" customHeight="1">
      <c r="A82" s="161" t="s">
        <v>434</v>
      </c>
      <c r="B82" s="161" t="s">
        <v>77</v>
      </c>
      <c r="C82" s="161"/>
      <c r="D82" s="236" t="s">
        <v>435</v>
      </c>
      <c r="E82" s="161" t="s">
        <v>408</v>
      </c>
      <c r="F82" s="162" t="s">
        <v>296</v>
      </c>
      <c r="G82" s="162">
        <v>1</v>
      </c>
      <c r="H82" s="161">
        <v>25030</v>
      </c>
      <c r="I82" s="166" t="str">
        <f>INDEX('6. data thông tin nhân sự'!C:C,MATCH('03. Chi tiết TS các bộ phận'!H82,'6. data thông tin nhân sự'!B:B,0))</f>
        <v>Hoàng Tuấn Anh</v>
      </c>
      <c r="J82" s="166" t="str">
        <f>INDEX('6. data thông tin nhân sự'!G:G,MATCH('03. Chi tiết TS các bộ phận'!H82,'6. data thông tin nhân sự'!B:B,0))</f>
        <v>Sự kiện - Event</v>
      </c>
      <c r="K82" s="166" t="str">
        <f>INDEX('6. data thông tin nhân sự'!D:D,MATCH('03. Chi tiết TS các bộ phận'!H82,'6. data thông tin nhân sự'!B:B,0))</f>
        <v>Chính thức</v>
      </c>
      <c r="L82" s="726" t="s">
        <v>436</v>
      </c>
      <c r="M82" s="228">
        <v>46204</v>
      </c>
      <c r="N82" s="228" t="str">
        <f>INDEX('6. data thông tin nhân sự'!N:N, MATCH('03. Chi tiết TS các bộ phận'!H82, '6. data thông tin nhân sự'!B:B,0))</f>
        <v>03/09/2025</v>
      </c>
      <c r="O82" s="161" t="s">
        <v>298</v>
      </c>
      <c r="P82" s="161"/>
      <c r="Q82" s="161"/>
      <c r="R82" s="161"/>
      <c r="S82" s="161"/>
      <c r="T82" s="161"/>
      <c r="U82" s="161"/>
      <c r="V82" s="161"/>
    </row>
    <row r="83" spans="1:22" s="155" customFormat="1" ht="27.75" hidden="1" customHeight="1">
      <c r="A83" s="161" t="s">
        <v>437</v>
      </c>
      <c r="B83" s="161" t="s">
        <v>78</v>
      </c>
      <c r="C83" s="161" t="s">
        <v>299</v>
      </c>
      <c r="D83" s="161"/>
      <c r="E83" s="161" t="s">
        <v>408</v>
      </c>
      <c r="F83" s="162" t="s">
        <v>296</v>
      </c>
      <c r="G83" s="162">
        <v>1</v>
      </c>
      <c r="H83" s="161">
        <v>25030</v>
      </c>
      <c r="I83" s="166" t="str">
        <f>INDEX('6. data thông tin nhân sự'!C:C,MATCH('03. Chi tiết TS các bộ phận'!H83,'6. data thông tin nhân sự'!B:B,0))</f>
        <v>Hoàng Tuấn Anh</v>
      </c>
      <c r="J83" s="166" t="str">
        <f>INDEX('6. data thông tin nhân sự'!G:G,MATCH('03. Chi tiết TS các bộ phận'!H83,'6. data thông tin nhân sự'!B:B,0))</f>
        <v>Sự kiện - Event</v>
      </c>
      <c r="K83" s="166" t="str">
        <f>INDEX('6. data thông tin nhân sự'!D:D,MATCH('03. Chi tiết TS các bộ phận'!H83,'6. data thông tin nhân sự'!B:B,0))</f>
        <v>Chính thức</v>
      </c>
      <c r="L83" s="726"/>
      <c r="M83" s="228">
        <v>46204</v>
      </c>
      <c r="N83" s="228" t="str">
        <f>INDEX('6. data thông tin nhân sự'!N:N, MATCH('03. Chi tiết TS các bộ phận'!H83, '6. data thông tin nhân sự'!B:B,0))</f>
        <v>03/09/2025</v>
      </c>
      <c r="O83" s="161" t="s">
        <v>298</v>
      </c>
      <c r="P83" s="161"/>
      <c r="Q83" s="161"/>
      <c r="R83" s="161"/>
      <c r="S83" s="161"/>
      <c r="T83" s="161"/>
      <c r="U83" s="161"/>
      <c r="V83" s="161"/>
    </row>
    <row r="84" spans="1:22" s="155" customFormat="1" ht="27.75" hidden="1" customHeight="1">
      <c r="A84" s="161" t="s">
        <v>438</v>
      </c>
      <c r="B84" s="161" t="s">
        <v>80</v>
      </c>
      <c r="C84" s="161"/>
      <c r="D84" s="161"/>
      <c r="E84" s="161" t="s">
        <v>408</v>
      </c>
      <c r="F84" s="162" t="s">
        <v>296</v>
      </c>
      <c r="G84" s="162">
        <v>1</v>
      </c>
      <c r="H84" s="161">
        <v>25030</v>
      </c>
      <c r="I84" s="166" t="str">
        <f>INDEX('6. data thông tin nhân sự'!C:C,MATCH('03. Chi tiết TS các bộ phận'!H84,'6. data thông tin nhân sự'!B:B,0))</f>
        <v>Hoàng Tuấn Anh</v>
      </c>
      <c r="J84" s="166" t="str">
        <f>INDEX('6. data thông tin nhân sự'!G:G,MATCH('03. Chi tiết TS các bộ phận'!H84,'6. data thông tin nhân sự'!B:B,0))</f>
        <v>Sự kiện - Event</v>
      </c>
      <c r="K84" s="166" t="str">
        <f>INDEX('6. data thông tin nhân sự'!D:D,MATCH('03. Chi tiết TS các bộ phận'!H84,'6. data thông tin nhân sự'!B:B,0))</f>
        <v>Chính thức</v>
      </c>
      <c r="L84" s="726"/>
      <c r="M84" s="228">
        <v>46204</v>
      </c>
      <c r="N84" s="228" t="str">
        <f>INDEX('6. data thông tin nhân sự'!N:N, MATCH('03. Chi tiết TS các bộ phận'!H84, '6. data thông tin nhân sự'!B:B,0))</f>
        <v>03/09/2025</v>
      </c>
      <c r="O84" s="161" t="s">
        <v>298</v>
      </c>
      <c r="P84" s="161"/>
      <c r="Q84" s="161"/>
      <c r="R84" s="161"/>
      <c r="S84" s="161"/>
      <c r="T84" s="161"/>
      <c r="U84" s="161"/>
      <c r="V84" s="161"/>
    </row>
    <row r="85" spans="1:22" s="155" customFormat="1" ht="27.75" customHeight="1">
      <c r="A85" s="166" t="s">
        <v>439</v>
      </c>
      <c r="B85" s="166" t="s">
        <v>79</v>
      </c>
      <c r="C85" s="166"/>
      <c r="D85" s="166"/>
      <c r="E85" s="166" t="s">
        <v>408</v>
      </c>
      <c r="F85" s="162" t="s">
        <v>296</v>
      </c>
      <c r="G85" s="162">
        <v>1</v>
      </c>
      <c r="H85" s="161">
        <v>25030</v>
      </c>
      <c r="I85" s="166" t="str">
        <f>INDEX('6. data thông tin nhân sự'!C:C,MATCH('03. Chi tiết TS các bộ phận'!H85,'6. data thông tin nhân sự'!B:B,0))</f>
        <v>Hoàng Tuấn Anh</v>
      </c>
      <c r="J85" s="166" t="str">
        <f>INDEX('6. data thông tin nhân sự'!G:G,MATCH('03. Chi tiết TS các bộ phận'!H85,'6. data thông tin nhân sự'!B:B,0))</f>
        <v>Sự kiện - Event</v>
      </c>
      <c r="K85" s="166" t="str">
        <f>INDEX('6. data thông tin nhân sự'!D:D,MATCH('03. Chi tiết TS các bộ phận'!H85,'6. data thông tin nhân sự'!B:B,0))</f>
        <v>Chính thức</v>
      </c>
      <c r="L85" s="726"/>
      <c r="M85" s="228">
        <v>46204</v>
      </c>
      <c r="N85" s="228" t="str">
        <f>INDEX('6. data thông tin nhân sự'!N:N, MATCH('03. Chi tiết TS các bộ phận'!H85, '6. data thông tin nhân sự'!B:B,0))</f>
        <v>03/09/2025</v>
      </c>
      <c r="O85" s="161" t="s">
        <v>298</v>
      </c>
      <c r="P85" s="166"/>
      <c r="Q85" s="166"/>
      <c r="R85" s="166"/>
      <c r="S85" s="166"/>
      <c r="T85" s="166"/>
      <c r="U85" s="166"/>
      <c r="V85" s="166"/>
    </row>
    <row r="86" spans="1:22" s="155" customFormat="1" ht="27.75" hidden="1" customHeight="1">
      <c r="A86" s="157" t="s">
        <v>440</v>
      </c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9"/>
      <c r="N86" s="159"/>
      <c r="O86" s="158"/>
      <c r="P86" s="158"/>
      <c r="Q86" s="158"/>
      <c r="R86" s="189"/>
      <c r="S86" s="189"/>
      <c r="T86" s="189"/>
      <c r="U86" s="189"/>
      <c r="V86" s="189"/>
    </row>
    <row r="87" spans="1:22" s="155" customFormat="1" ht="75" hidden="1" customHeight="1">
      <c r="A87" s="161" t="s">
        <v>441</v>
      </c>
      <c r="B87" s="161" t="s">
        <v>77</v>
      </c>
      <c r="C87" s="161"/>
      <c r="D87" s="236" t="s">
        <v>442</v>
      </c>
      <c r="E87" s="161" t="s">
        <v>443</v>
      </c>
      <c r="F87" s="162" t="s">
        <v>296</v>
      </c>
      <c r="G87" s="162">
        <v>1</v>
      </c>
      <c r="H87" s="161">
        <v>20001</v>
      </c>
      <c r="I87" s="166" t="str">
        <f>INDEX('6. data thông tin nhân sự'!C:C,MATCH('03. Chi tiết TS các bộ phận'!H87,'6. data thông tin nhân sự'!B:B,0))</f>
        <v>Hoàng Quốc Nghị</v>
      </c>
      <c r="J87" s="166" t="str">
        <f>INDEX('6. data thông tin nhân sự'!G:G,MATCH('03. Chi tiết TS các bộ phận'!H87,'6. data thông tin nhân sự'!B:B,0))</f>
        <v>Thiết kế - Design</v>
      </c>
      <c r="K87" s="166" t="str">
        <f>INDEX('6. data thông tin nhân sự'!D:D,MATCH('03. Chi tiết TS các bộ phận'!H87,'6. data thông tin nhân sự'!B:B,0))</f>
        <v>Chính thức</v>
      </c>
      <c r="L87" s="726" t="s">
        <v>444</v>
      </c>
      <c r="M87" s="228">
        <v>46204</v>
      </c>
      <c r="N87" s="228" t="str">
        <f>INDEX('6. data thông tin nhân sự'!N:N, MATCH('03. Chi tiết TS các bộ phận'!H87, '6. data thông tin nhân sự'!B:B,0))</f>
        <v>25/05/2020</v>
      </c>
      <c r="O87" s="161" t="s">
        <v>298</v>
      </c>
      <c r="P87" s="161"/>
      <c r="Q87" s="161"/>
      <c r="R87" s="161"/>
      <c r="S87" s="161"/>
      <c r="T87" s="161"/>
      <c r="U87" s="161"/>
      <c r="V87" s="161"/>
    </row>
    <row r="88" spans="1:22" s="155" customFormat="1" ht="27.75" hidden="1" customHeight="1">
      <c r="A88" s="161" t="s">
        <v>445</v>
      </c>
      <c r="B88" s="161" t="s">
        <v>78</v>
      </c>
      <c r="C88" s="161" t="s">
        <v>299</v>
      </c>
      <c r="D88" s="161"/>
      <c r="E88" s="161" t="s">
        <v>443</v>
      </c>
      <c r="F88" s="162" t="s">
        <v>296</v>
      </c>
      <c r="G88" s="162">
        <v>1</v>
      </c>
      <c r="H88" s="161">
        <v>20001</v>
      </c>
      <c r="I88" s="166" t="str">
        <f>INDEX('6. data thông tin nhân sự'!C:C,MATCH('03. Chi tiết TS các bộ phận'!H88,'6. data thông tin nhân sự'!B:B,0))</f>
        <v>Hoàng Quốc Nghị</v>
      </c>
      <c r="J88" s="166" t="str">
        <f>INDEX('6. data thông tin nhân sự'!G:G,MATCH('03. Chi tiết TS các bộ phận'!H88,'6. data thông tin nhân sự'!B:B,0))</f>
        <v>Thiết kế - Design</v>
      </c>
      <c r="K88" s="166" t="str">
        <f>INDEX('6. data thông tin nhân sự'!D:D,MATCH('03. Chi tiết TS các bộ phận'!H88,'6. data thông tin nhân sự'!B:B,0))</f>
        <v>Chính thức</v>
      </c>
      <c r="L88" s="726"/>
      <c r="M88" s="228">
        <v>46204</v>
      </c>
      <c r="N88" s="228" t="str">
        <f>INDEX('6. data thông tin nhân sự'!N:N, MATCH('03. Chi tiết TS các bộ phận'!H88, '6. data thông tin nhân sự'!B:B,0))</f>
        <v>25/05/2020</v>
      </c>
      <c r="O88" s="161" t="s">
        <v>298</v>
      </c>
      <c r="P88" s="161"/>
      <c r="Q88" s="161"/>
      <c r="R88" s="161"/>
      <c r="S88" s="161"/>
      <c r="T88" s="161"/>
      <c r="U88" s="161"/>
      <c r="V88" s="161"/>
    </row>
    <row r="89" spans="1:22" s="155" customFormat="1" ht="71.25" hidden="1" customHeight="1">
      <c r="A89" s="163" t="s">
        <v>446</v>
      </c>
      <c r="B89" s="163" t="s">
        <v>77</v>
      </c>
      <c r="C89" s="163"/>
      <c r="D89" s="252" t="s">
        <v>447</v>
      </c>
      <c r="E89" s="163" t="s">
        <v>443</v>
      </c>
      <c r="F89" s="139" t="s">
        <v>296</v>
      </c>
      <c r="G89" s="139">
        <v>1</v>
      </c>
      <c r="H89" s="163">
        <v>21002</v>
      </c>
      <c r="I89" s="140" t="str">
        <f>INDEX('6. data thông tin nhân sự'!C:C,MATCH('03. Chi tiết TS các bộ phận'!H89,'6. data thông tin nhân sự'!B:B,0))</f>
        <v>Nguyễn Phương Mai</v>
      </c>
      <c r="J89" s="140" t="str">
        <f>INDEX('6. data thông tin nhân sự'!G:G,MATCH('03. Chi tiết TS các bộ phận'!H89,'6. data thông tin nhân sự'!B:B,0))</f>
        <v>Thiết kế - Design</v>
      </c>
      <c r="K89" s="140" t="str">
        <f>INDEX('6. data thông tin nhân sự'!D:D,MATCH('03. Chi tiết TS các bộ phận'!H89,'6. data thông tin nhân sự'!B:B,0))</f>
        <v>Chính thức</v>
      </c>
      <c r="L89" s="727" t="s">
        <v>448</v>
      </c>
      <c r="M89" s="231">
        <v>46204</v>
      </c>
      <c r="N89" s="231" t="str">
        <f>INDEX('6. data thông tin nhân sự'!N:N, MATCH('03. Chi tiết TS các bộ phận'!H89, '6. data thông tin nhân sự'!B:B,0))</f>
        <v>13/09/2021</v>
      </c>
      <c r="O89" s="163" t="s">
        <v>298</v>
      </c>
      <c r="P89" s="149"/>
      <c r="Q89" s="149"/>
      <c r="R89" s="149"/>
      <c r="S89" s="149"/>
      <c r="T89" s="149"/>
      <c r="U89" s="149"/>
      <c r="V89" s="149"/>
    </row>
    <row r="90" spans="1:22" s="155" customFormat="1" ht="27.75" hidden="1" customHeight="1">
      <c r="A90" s="163" t="s">
        <v>449</v>
      </c>
      <c r="B90" s="163" t="s">
        <v>78</v>
      </c>
      <c r="C90" s="163" t="s">
        <v>299</v>
      </c>
      <c r="D90" s="163"/>
      <c r="E90" s="163" t="s">
        <v>443</v>
      </c>
      <c r="F90" s="139" t="s">
        <v>296</v>
      </c>
      <c r="G90" s="139">
        <v>1</v>
      </c>
      <c r="H90" s="163">
        <v>21002</v>
      </c>
      <c r="I90" s="140" t="str">
        <f>INDEX('6. data thông tin nhân sự'!C:C,MATCH('03. Chi tiết TS các bộ phận'!H90,'6. data thông tin nhân sự'!B:B,0))</f>
        <v>Nguyễn Phương Mai</v>
      </c>
      <c r="J90" s="140" t="str">
        <f>INDEX('6. data thông tin nhân sự'!G:G,MATCH('03. Chi tiết TS các bộ phận'!H90,'6. data thông tin nhân sự'!B:B,0))</f>
        <v>Thiết kế - Design</v>
      </c>
      <c r="K90" s="140" t="str">
        <f>INDEX('6. data thông tin nhân sự'!D:D,MATCH('03. Chi tiết TS các bộ phận'!H90,'6. data thông tin nhân sự'!B:B,0))</f>
        <v>Chính thức</v>
      </c>
      <c r="L90" s="727"/>
      <c r="M90" s="231">
        <v>46204</v>
      </c>
      <c r="N90" s="231" t="str">
        <f>INDEX('6. data thông tin nhân sự'!N:N, MATCH('03. Chi tiết TS các bộ phận'!H90, '6. data thông tin nhân sự'!B:B,0))</f>
        <v>13/09/2021</v>
      </c>
      <c r="O90" s="163" t="s">
        <v>298</v>
      </c>
      <c r="P90" s="149"/>
      <c r="Q90" s="149"/>
      <c r="R90" s="149"/>
      <c r="S90" s="149"/>
      <c r="T90" s="149"/>
      <c r="U90" s="149"/>
      <c r="V90" s="149"/>
    </row>
    <row r="91" spans="1:22" s="155" customFormat="1" ht="27.75" customHeight="1">
      <c r="A91" s="140" t="s">
        <v>450</v>
      </c>
      <c r="B91" s="140" t="s">
        <v>79</v>
      </c>
      <c r="C91" s="140"/>
      <c r="D91" s="140"/>
      <c r="E91" s="140" t="s">
        <v>443</v>
      </c>
      <c r="F91" s="139" t="s">
        <v>296</v>
      </c>
      <c r="G91" s="139">
        <v>1</v>
      </c>
      <c r="H91" s="163">
        <v>21002</v>
      </c>
      <c r="I91" s="140" t="str">
        <f>INDEX('6. data thông tin nhân sự'!C:C,MATCH('03. Chi tiết TS các bộ phận'!H91,'6. data thông tin nhân sự'!B:B,0))</f>
        <v>Nguyễn Phương Mai</v>
      </c>
      <c r="J91" s="140" t="str">
        <f>INDEX('6. data thông tin nhân sự'!G:G,MATCH('03. Chi tiết TS các bộ phận'!H91,'6. data thông tin nhân sự'!B:B,0))</f>
        <v>Thiết kế - Design</v>
      </c>
      <c r="K91" s="140" t="str">
        <f>INDEX('6. data thông tin nhân sự'!D:D,MATCH('03. Chi tiết TS các bộ phận'!H91,'6. data thông tin nhân sự'!B:B,0))</f>
        <v>Chính thức</v>
      </c>
      <c r="L91" s="727"/>
      <c r="M91" s="231">
        <v>46204</v>
      </c>
      <c r="N91" s="231" t="str">
        <f>INDEX('6. data thông tin nhân sự'!N:N, MATCH('03. Chi tiết TS các bộ phận'!H91, '6. data thông tin nhân sự'!B:B,0))</f>
        <v>13/09/2021</v>
      </c>
      <c r="O91" s="163" t="s">
        <v>298</v>
      </c>
      <c r="P91" s="165"/>
      <c r="Q91" s="165"/>
      <c r="R91" s="165"/>
      <c r="S91" s="165"/>
      <c r="T91" s="165"/>
      <c r="U91" s="165"/>
      <c r="V91" s="165"/>
    </row>
    <row r="92" spans="1:22" s="155" customFormat="1" ht="91.5" hidden="1" customHeight="1">
      <c r="A92" s="161" t="s">
        <v>451</v>
      </c>
      <c r="B92" s="161" t="s">
        <v>77</v>
      </c>
      <c r="C92" s="161"/>
      <c r="D92" s="236" t="s">
        <v>452</v>
      </c>
      <c r="E92" s="161" t="s">
        <v>443</v>
      </c>
      <c r="F92" s="162" t="s">
        <v>296</v>
      </c>
      <c r="G92" s="162">
        <v>1</v>
      </c>
      <c r="H92" s="161">
        <v>21001</v>
      </c>
      <c r="I92" s="166" t="str">
        <f>INDEX('6. data thông tin nhân sự'!C:C,MATCH('03. Chi tiết TS các bộ phận'!H92,'6. data thông tin nhân sự'!B:B,0))</f>
        <v>Nguyễn  Việt Thắng</v>
      </c>
      <c r="J92" s="166" t="str">
        <f>INDEX('6. data thông tin nhân sự'!G:G,MATCH('03. Chi tiết TS các bộ phận'!H92,'6. data thông tin nhân sự'!B:B,0))</f>
        <v>Thiết kế - Design</v>
      </c>
      <c r="K92" s="166" t="str">
        <f>INDEX('6. data thông tin nhân sự'!D:D,MATCH('03. Chi tiết TS các bộ phận'!H92,'6. data thông tin nhân sự'!B:B,0))</f>
        <v>Chính thức</v>
      </c>
      <c r="L92" s="721" t="s">
        <v>453</v>
      </c>
      <c r="M92" s="228">
        <v>46204</v>
      </c>
      <c r="N92" s="228" t="str">
        <f>INDEX('6. data thông tin nhân sự'!N:N, MATCH('03. Chi tiết TS các bộ phận'!H92, '6. data thông tin nhân sự'!B:B,0))</f>
        <v>06/09/2021</v>
      </c>
      <c r="O92" s="161" t="s">
        <v>298</v>
      </c>
      <c r="P92" s="161"/>
      <c r="Q92" s="161"/>
      <c r="R92" s="161"/>
      <c r="S92" s="161"/>
      <c r="T92" s="161"/>
      <c r="U92" s="161"/>
      <c r="V92" s="161"/>
    </row>
    <row r="93" spans="1:22" s="155" customFormat="1" ht="27.75" hidden="1" customHeight="1">
      <c r="A93" s="161" t="s">
        <v>454</v>
      </c>
      <c r="B93" s="161" t="s">
        <v>78</v>
      </c>
      <c r="C93" s="161" t="s">
        <v>299</v>
      </c>
      <c r="D93" s="161"/>
      <c r="E93" s="161" t="s">
        <v>443</v>
      </c>
      <c r="F93" s="162" t="s">
        <v>296</v>
      </c>
      <c r="G93" s="162">
        <v>1</v>
      </c>
      <c r="H93" s="161">
        <v>21001</v>
      </c>
      <c r="I93" s="166" t="str">
        <f>INDEX('6. data thông tin nhân sự'!C:C,MATCH('03. Chi tiết TS các bộ phận'!H93,'6. data thông tin nhân sự'!B:B,0))</f>
        <v>Nguyễn  Việt Thắng</v>
      </c>
      <c r="J93" s="166" t="str">
        <f>INDEX('6. data thông tin nhân sự'!G:G,MATCH('03. Chi tiết TS các bộ phận'!H93,'6. data thông tin nhân sự'!B:B,0))</f>
        <v>Thiết kế - Design</v>
      </c>
      <c r="K93" s="166" t="str">
        <f>INDEX('6. data thông tin nhân sự'!D:D,MATCH('03. Chi tiết TS các bộ phận'!H93,'6. data thông tin nhân sự'!B:B,0))</f>
        <v>Chính thức</v>
      </c>
      <c r="L93" s="722"/>
      <c r="M93" s="228">
        <v>46204</v>
      </c>
      <c r="N93" s="228" t="str">
        <f>INDEX('6. data thông tin nhân sự'!N:N, MATCH('03. Chi tiết TS các bộ phận'!H93, '6. data thông tin nhân sự'!B:B,0))</f>
        <v>06/09/2021</v>
      </c>
      <c r="O93" s="161" t="s">
        <v>298</v>
      </c>
      <c r="P93" s="161"/>
      <c r="Q93" s="161"/>
      <c r="R93" s="161"/>
      <c r="S93" s="161"/>
      <c r="T93" s="161"/>
      <c r="U93" s="161"/>
      <c r="V93" s="161"/>
    </row>
    <row r="94" spans="1:22" s="155" customFormat="1" ht="56.25" hidden="1" customHeight="1">
      <c r="A94" s="161" t="s">
        <v>237</v>
      </c>
      <c r="B94" s="161" t="s">
        <v>78</v>
      </c>
      <c r="C94" s="161"/>
      <c r="D94" s="236" t="s">
        <v>455</v>
      </c>
      <c r="E94" s="161" t="s">
        <v>443</v>
      </c>
      <c r="F94" s="162" t="s">
        <v>296</v>
      </c>
      <c r="G94" s="162"/>
      <c r="H94" s="161">
        <v>21001</v>
      </c>
      <c r="I94" s="166" t="str">
        <f>INDEX('6. data thông tin nhân sự'!C:C,MATCH('03. Chi tiết TS các bộ phận'!H94,'6. data thông tin nhân sự'!B:B,0))</f>
        <v>Nguyễn  Việt Thắng</v>
      </c>
      <c r="J94" s="166" t="str">
        <f>INDEX('6. data thông tin nhân sự'!G:G,MATCH('03. Chi tiết TS các bộ phận'!H94,'6. data thông tin nhân sự'!B:B,0))</f>
        <v>Thiết kế - Design</v>
      </c>
      <c r="K94" s="166" t="str">
        <f>INDEX('6. data thông tin nhân sự'!D:D,MATCH('03. Chi tiết TS các bộ phận'!H94,'6. data thông tin nhân sự'!B:B,0))</f>
        <v>Chính thức</v>
      </c>
      <c r="L94" s="723"/>
      <c r="M94" s="228">
        <v>46261</v>
      </c>
      <c r="N94" s="228">
        <v>46261</v>
      </c>
      <c r="O94" s="161" t="s">
        <v>298</v>
      </c>
      <c r="P94" s="161"/>
      <c r="Q94" s="161"/>
      <c r="R94" s="161"/>
      <c r="S94" s="161"/>
      <c r="T94" s="161"/>
      <c r="U94" s="161"/>
      <c r="V94" s="161"/>
    </row>
    <row r="95" spans="1:22" s="155" customFormat="1" ht="87" hidden="1" customHeight="1">
      <c r="A95" s="163" t="s">
        <v>456</v>
      </c>
      <c r="B95" s="163" t="s">
        <v>77</v>
      </c>
      <c r="C95" s="163"/>
      <c r="D95" s="252" t="s">
        <v>457</v>
      </c>
      <c r="E95" s="163" t="s">
        <v>443</v>
      </c>
      <c r="F95" s="139" t="s">
        <v>296</v>
      </c>
      <c r="G95" s="139">
        <v>1</v>
      </c>
      <c r="H95" s="163">
        <v>23001</v>
      </c>
      <c r="I95" s="140" t="str">
        <f>INDEX('6. data thông tin nhân sự'!C:C,MATCH('03. Chi tiết TS các bộ phận'!H95,'6. data thông tin nhân sự'!B:B,0))</f>
        <v>Thái Thị Thanh Thảo</v>
      </c>
      <c r="J95" s="140" t="str">
        <f>INDEX('6. data thông tin nhân sự'!G:G,MATCH('03. Chi tiết TS các bộ phận'!H95,'6. data thông tin nhân sự'!B:B,0))</f>
        <v>Thiết kế - Design</v>
      </c>
      <c r="K95" s="140" t="str">
        <f>INDEX('6. data thông tin nhân sự'!D:D,MATCH('03. Chi tiết TS các bộ phận'!H95,'6. data thông tin nhân sự'!B:B,0))</f>
        <v>Chính thức</v>
      </c>
      <c r="L95" s="727" t="s">
        <v>458</v>
      </c>
      <c r="M95" s="231">
        <v>46204</v>
      </c>
      <c r="N95" s="231" t="str">
        <f>INDEX('6. data thông tin nhân sự'!N:N, MATCH('03. Chi tiết TS các bộ phận'!H95, '6. data thông tin nhân sự'!B:B,0))</f>
        <v>20/02/2023</v>
      </c>
      <c r="O95" s="163" t="s">
        <v>298</v>
      </c>
      <c r="P95" s="149"/>
      <c r="Q95" s="149"/>
      <c r="R95" s="149"/>
      <c r="S95" s="149"/>
      <c r="T95" s="149"/>
      <c r="U95" s="149"/>
      <c r="V95" s="149"/>
    </row>
    <row r="96" spans="1:22" s="155" customFormat="1" ht="27.75" hidden="1" customHeight="1">
      <c r="A96" s="163" t="s">
        <v>459</v>
      </c>
      <c r="B96" s="163" t="s">
        <v>78</v>
      </c>
      <c r="C96" s="163" t="s">
        <v>299</v>
      </c>
      <c r="D96" s="163"/>
      <c r="E96" s="163" t="s">
        <v>443</v>
      </c>
      <c r="F96" s="139" t="s">
        <v>296</v>
      </c>
      <c r="G96" s="139">
        <v>1</v>
      </c>
      <c r="H96" s="163">
        <v>23001</v>
      </c>
      <c r="I96" s="140" t="str">
        <f>INDEX('6. data thông tin nhân sự'!C:C,MATCH('03. Chi tiết TS các bộ phận'!H96,'6. data thông tin nhân sự'!B:B,0))</f>
        <v>Thái Thị Thanh Thảo</v>
      </c>
      <c r="J96" s="140" t="str">
        <f>INDEX('6. data thông tin nhân sự'!G:G,MATCH('03. Chi tiết TS các bộ phận'!H96,'6. data thông tin nhân sự'!B:B,0))</f>
        <v>Thiết kế - Design</v>
      </c>
      <c r="K96" s="140" t="str">
        <f>INDEX('6. data thông tin nhân sự'!D:D,MATCH('03. Chi tiết TS các bộ phận'!H96,'6. data thông tin nhân sự'!B:B,0))</f>
        <v>Chính thức</v>
      </c>
      <c r="L96" s="727"/>
      <c r="M96" s="231">
        <v>46204</v>
      </c>
      <c r="N96" s="231" t="str">
        <f>INDEX('6. data thông tin nhân sự'!N:N, MATCH('03. Chi tiết TS các bộ phận'!H96, '6. data thông tin nhân sự'!B:B,0))</f>
        <v>20/02/2023</v>
      </c>
      <c r="O96" s="163" t="s">
        <v>298</v>
      </c>
      <c r="P96" s="149"/>
      <c r="Q96" s="149"/>
      <c r="R96" s="149"/>
      <c r="S96" s="149"/>
      <c r="T96" s="149"/>
      <c r="U96" s="149"/>
      <c r="V96" s="149"/>
    </row>
    <row r="97" spans="1:22" s="155" customFormat="1" ht="57" hidden="1" customHeight="1">
      <c r="A97" s="163" t="s">
        <v>233</v>
      </c>
      <c r="B97" s="163" t="s">
        <v>78</v>
      </c>
      <c r="C97" s="163"/>
      <c r="D97" s="252" t="s">
        <v>455</v>
      </c>
      <c r="E97" s="163" t="s">
        <v>443</v>
      </c>
      <c r="F97" s="139" t="s">
        <v>296</v>
      </c>
      <c r="G97" s="139">
        <v>1</v>
      </c>
      <c r="H97" s="163">
        <v>23001</v>
      </c>
      <c r="I97" s="140" t="str">
        <f>INDEX('6. data thông tin nhân sự'!C:C,MATCH('03. Chi tiết TS các bộ phận'!H97,'6. data thông tin nhân sự'!B:B,0))</f>
        <v>Thái Thị Thanh Thảo</v>
      </c>
      <c r="J97" s="140" t="str">
        <f>INDEX('6. data thông tin nhân sự'!G:G,MATCH('03. Chi tiết TS các bộ phận'!H97,'6. data thông tin nhân sự'!B:B,0))</f>
        <v>Thiết kế - Design</v>
      </c>
      <c r="K97" s="140" t="str">
        <f>INDEX('6. data thông tin nhân sự'!D:D,MATCH('03. Chi tiết TS các bộ phận'!H97,'6. data thông tin nhân sự'!B:B,0))</f>
        <v>Chính thức</v>
      </c>
      <c r="L97" s="727"/>
      <c r="M97" s="231">
        <v>46261</v>
      </c>
      <c r="N97" s="231">
        <v>46261</v>
      </c>
      <c r="O97" s="163" t="s">
        <v>298</v>
      </c>
      <c r="P97" s="149"/>
      <c r="Q97" s="149"/>
      <c r="R97" s="149"/>
      <c r="S97" s="149"/>
      <c r="T97" s="149"/>
      <c r="U97" s="149"/>
      <c r="V97" s="149"/>
    </row>
    <row r="98" spans="1:22" s="155" customFormat="1" ht="27.75" customHeight="1">
      <c r="A98" s="140" t="s">
        <v>460</v>
      </c>
      <c r="B98" s="140" t="s">
        <v>79</v>
      </c>
      <c r="C98" s="140"/>
      <c r="D98" s="140"/>
      <c r="E98" s="140" t="s">
        <v>443</v>
      </c>
      <c r="F98" s="139" t="s">
        <v>296</v>
      </c>
      <c r="G98" s="139">
        <v>1</v>
      </c>
      <c r="H98" s="163">
        <v>23001</v>
      </c>
      <c r="I98" s="140" t="str">
        <f>INDEX('6. data thông tin nhân sự'!C:C,MATCH('03. Chi tiết TS các bộ phận'!H98,'6. data thông tin nhân sự'!B:B,0))</f>
        <v>Thái Thị Thanh Thảo</v>
      </c>
      <c r="J98" s="140" t="str">
        <f>INDEX('6. data thông tin nhân sự'!G:G,MATCH('03. Chi tiết TS các bộ phận'!H98,'6. data thông tin nhân sự'!B:B,0))</f>
        <v>Thiết kế - Design</v>
      </c>
      <c r="K98" s="140" t="str">
        <f>INDEX('6. data thông tin nhân sự'!D:D,MATCH('03. Chi tiết TS các bộ phận'!H98,'6. data thông tin nhân sự'!B:B,0))</f>
        <v>Chính thức</v>
      </c>
      <c r="L98" s="727"/>
      <c r="M98" s="231">
        <v>46204</v>
      </c>
      <c r="N98" s="231" t="str">
        <f>INDEX('6. data thông tin nhân sự'!N:N, MATCH('03. Chi tiết TS các bộ phận'!H98, '6. data thông tin nhân sự'!B:B,0))</f>
        <v>20/02/2023</v>
      </c>
      <c r="O98" s="163" t="s">
        <v>298</v>
      </c>
      <c r="P98" s="165"/>
      <c r="Q98" s="165"/>
      <c r="R98" s="165"/>
      <c r="S98" s="165"/>
      <c r="T98" s="165"/>
      <c r="U98" s="165"/>
      <c r="V98" s="165"/>
    </row>
    <row r="99" spans="1:22" s="155" customFormat="1" ht="96.75" hidden="1" customHeight="1">
      <c r="A99" s="161" t="s">
        <v>461</v>
      </c>
      <c r="B99" s="161" t="s">
        <v>77</v>
      </c>
      <c r="C99" s="161"/>
      <c r="D99" s="236" t="s">
        <v>462</v>
      </c>
      <c r="E99" s="161" t="s">
        <v>443</v>
      </c>
      <c r="F99" s="162" t="s">
        <v>296</v>
      </c>
      <c r="G99" s="162">
        <v>1</v>
      </c>
      <c r="H99" s="161">
        <v>26003</v>
      </c>
      <c r="I99" s="166" t="str">
        <f>INDEX('6. data thông tin nhân sự'!C:C,MATCH('03. Chi tiết TS các bộ phận'!H99,'6. data thông tin nhân sự'!B:B,0))</f>
        <v>Vũ Đăng Duy</v>
      </c>
      <c r="J99" s="166" t="str">
        <f>INDEX('6. data thông tin nhân sự'!G:G,MATCH('03. Chi tiết TS các bộ phận'!H99,'6. data thông tin nhân sự'!B:B,0))</f>
        <v>Thiết kế - Design</v>
      </c>
      <c r="K99" s="166" t="str">
        <f>INDEX('6. data thông tin nhân sự'!D:D,MATCH('03. Chi tiết TS các bộ phận'!H99,'6. data thông tin nhân sự'!B:B,0))</f>
        <v>Chính thức</v>
      </c>
      <c r="L99" s="726" t="s">
        <v>463</v>
      </c>
      <c r="M99" s="228">
        <v>46204</v>
      </c>
      <c r="N99" s="228" t="str">
        <f>INDEX('6. data thông tin nhân sự'!N:N, MATCH('03. Chi tiết TS các bộ phận'!H99, '6. data thông tin nhân sự'!B:B,0))</f>
        <v>02/03/2026</v>
      </c>
      <c r="O99" s="161" t="s">
        <v>298</v>
      </c>
      <c r="P99" s="161"/>
      <c r="Q99" s="161"/>
      <c r="R99" s="229" t="s">
        <v>464</v>
      </c>
      <c r="S99" s="161"/>
      <c r="T99" s="161"/>
      <c r="U99" s="161"/>
      <c r="V99" s="161"/>
    </row>
    <row r="100" spans="1:22" s="155" customFormat="1" ht="49.5" hidden="1" customHeight="1">
      <c r="A100" s="161" t="s">
        <v>465</v>
      </c>
      <c r="B100" s="161" t="s">
        <v>78</v>
      </c>
      <c r="C100" s="161" t="s">
        <v>299</v>
      </c>
      <c r="D100" s="161"/>
      <c r="E100" s="161" t="s">
        <v>443</v>
      </c>
      <c r="F100" s="162" t="s">
        <v>296</v>
      </c>
      <c r="G100" s="162">
        <v>1</v>
      </c>
      <c r="H100" s="161">
        <v>26003</v>
      </c>
      <c r="I100" s="166" t="str">
        <f>INDEX('6. data thông tin nhân sự'!C:C,MATCH('03. Chi tiết TS các bộ phận'!H100,'6. data thông tin nhân sự'!B:B,0))</f>
        <v>Vũ Đăng Duy</v>
      </c>
      <c r="J100" s="166" t="str">
        <f>INDEX('6. data thông tin nhân sự'!G:G,MATCH('03. Chi tiết TS các bộ phận'!H100,'6. data thông tin nhân sự'!B:B,0))</f>
        <v>Thiết kế - Design</v>
      </c>
      <c r="K100" s="166" t="str">
        <f>INDEX('6. data thông tin nhân sự'!D:D,MATCH('03. Chi tiết TS các bộ phận'!H100,'6. data thông tin nhân sự'!B:B,0))</f>
        <v>Chính thức</v>
      </c>
      <c r="L100" s="726"/>
      <c r="M100" s="228">
        <v>46204</v>
      </c>
      <c r="N100" s="228" t="str">
        <f>INDEX('6. data thông tin nhân sự'!N:N, MATCH('03. Chi tiết TS các bộ phận'!H100, '6. data thông tin nhân sự'!B:B,0))</f>
        <v>02/03/2026</v>
      </c>
      <c r="O100" s="161" t="s">
        <v>298</v>
      </c>
      <c r="P100" s="161"/>
      <c r="Q100" s="161"/>
      <c r="R100" s="229" t="s">
        <v>464</v>
      </c>
      <c r="S100" s="161"/>
      <c r="T100" s="161"/>
      <c r="U100" s="161"/>
      <c r="V100" s="161"/>
    </row>
    <row r="101" spans="1:22" s="155" customFormat="1" ht="49.5" hidden="1" customHeight="1">
      <c r="A101" s="161" t="s">
        <v>239</v>
      </c>
      <c r="B101" s="161" t="s">
        <v>78</v>
      </c>
      <c r="C101" s="161"/>
      <c r="D101" s="229" t="s">
        <v>466</v>
      </c>
      <c r="E101" s="161" t="s">
        <v>443</v>
      </c>
      <c r="F101" s="162" t="s">
        <v>296</v>
      </c>
      <c r="G101" s="162">
        <v>1</v>
      </c>
      <c r="H101" s="161">
        <v>26003</v>
      </c>
      <c r="I101" s="166" t="str">
        <f>INDEX('6. data thông tin nhân sự'!C:C,MATCH('03. Chi tiết TS các bộ phận'!H101,'6. data thông tin nhân sự'!B:B,0))</f>
        <v>Vũ Đăng Duy</v>
      </c>
      <c r="J101" s="166" t="str">
        <f>INDEX('6. data thông tin nhân sự'!G:G,MATCH('03. Chi tiết TS các bộ phận'!H101,'6. data thông tin nhân sự'!B:B,0))</f>
        <v>Thiết kế - Design</v>
      </c>
      <c r="K101" s="166" t="str">
        <f>INDEX('6. data thông tin nhân sự'!D:D,MATCH('03. Chi tiết TS các bộ phận'!H101,'6. data thông tin nhân sự'!B:B,0))</f>
        <v>Chính thức</v>
      </c>
      <c r="L101" s="726"/>
      <c r="M101" s="228">
        <v>46261</v>
      </c>
      <c r="N101" s="228">
        <v>46261</v>
      </c>
      <c r="O101" s="161" t="s">
        <v>298</v>
      </c>
      <c r="P101" s="161"/>
      <c r="Q101" s="161"/>
      <c r="R101" s="229"/>
      <c r="S101" s="161"/>
      <c r="T101" s="161"/>
      <c r="U101" s="161"/>
      <c r="V101" s="161"/>
    </row>
    <row r="102" spans="1:22" s="155" customFormat="1" ht="49.5" customHeight="1">
      <c r="A102" s="166" t="s">
        <v>467</v>
      </c>
      <c r="B102" s="166" t="s">
        <v>79</v>
      </c>
      <c r="C102" s="166"/>
      <c r="D102" s="166"/>
      <c r="E102" s="161" t="s">
        <v>443</v>
      </c>
      <c r="F102" s="162" t="s">
        <v>296</v>
      </c>
      <c r="G102" s="162">
        <v>1</v>
      </c>
      <c r="H102" s="161">
        <v>26003</v>
      </c>
      <c r="I102" s="166" t="str">
        <f>INDEX('6. data thông tin nhân sự'!C:C,MATCH('03. Chi tiết TS các bộ phận'!H102,'6. data thông tin nhân sự'!B:B,0))</f>
        <v>Vũ Đăng Duy</v>
      </c>
      <c r="J102" s="166" t="str">
        <f>INDEX('6. data thông tin nhân sự'!G:G,MATCH('03. Chi tiết TS các bộ phận'!H102,'6. data thông tin nhân sự'!B:B,0))</f>
        <v>Thiết kế - Design</v>
      </c>
      <c r="K102" s="166" t="str">
        <f>INDEX('6. data thông tin nhân sự'!D:D,MATCH('03. Chi tiết TS các bộ phận'!H102,'6. data thông tin nhân sự'!B:B,0))</f>
        <v>Chính thức</v>
      </c>
      <c r="L102" s="726"/>
      <c r="M102" s="228">
        <v>46204</v>
      </c>
      <c r="N102" s="228" t="str">
        <f>INDEX('6. data thông tin nhân sự'!N:N, MATCH('03. Chi tiết TS các bộ phận'!H102, '6. data thông tin nhân sự'!B:B,0))</f>
        <v>02/03/2026</v>
      </c>
      <c r="O102" s="161" t="s">
        <v>298</v>
      </c>
      <c r="P102" s="166"/>
      <c r="Q102" s="166"/>
      <c r="R102" s="229" t="s">
        <v>464</v>
      </c>
      <c r="S102" s="166"/>
      <c r="T102" s="166"/>
      <c r="U102" s="166"/>
      <c r="V102" s="166"/>
    </row>
    <row r="103" spans="1:22" s="155" customFormat="1" ht="69" hidden="1" customHeight="1">
      <c r="A103" s="163" t="s">
        <v>468</v>
      </c>
      <c r="B103" s="163" t="s">
        <v>77</v>
      </c>
      <c r="C103" s="163"/>
      <c r="D103" s="252" t="s">
        <v>469</v>
      </c>
      <c r="E103" s="163" t="s">
        <v>443</v>
      </c>
      <c r="F103" s="139" t="s">
        <v>296</v>
      </c>
      <c r="G103" s="139">
        <v>1</v>
      </c>
      <c r="H103" s="163">
        <v>23002</v>
      </c>
      <c r="I103" s="140" t="str">
        <f>INDEX('6. data thông tin nhân sự'!C:C,MATCH('03. Chi tiết TS các bộ phận'!H103,'6. data thông tin nhân sự'!B:B,0))</f>
        <v>Vũ Thị Mai Linh</v>
      </c>
      <c r="J103" s="140" t="str">
        <f>INDEX('6. data thông tin nhân sự'!G:G,MATCH('03. Chi tiết TS các bộ phận'!H103,'6. data thông tin nhân sự'!B:B,0))</f>
        <v>Thiết kế - Design</v>
      </c>
      <c r="K103" s="140" t="str">
        <f>INDEX('6. data thông tin nhân sự'!D:D,MATCH('03. Chi tiết TS các bộ phận'!H103,'6. data thông tin nhân sự'!B:B,0))</f>
        <v>Chính thức</v>
      </c>
      <c r="L103" s="727" t="s">
        <v>470</v>
      </c>
      <c r="M103" s="231">
        <v>46203</v>
      </c>
      <c r="N103" s="231" t="str">
        <f>INDEX('6. data thông tin nhân sự'!N:N, MATCH('03. Chi tiết TS các bộ phận'!H103, '6. data thông tin nhân sự'!B:B,0))</f>
        <v>28/02/2023</v>
      </c>
      <c r="O103" s="163" t="s">
        <v>298</v>
      </c>
      <c r="P103" s="149"/>
      <c r="Q103" s="149"/>
      <c r="R103" s="149"/>
      <c r="S103" s="149"/>
      <c r="T103" s="149"/>
      <c r="U103" s="149"/>
      <c r="V103" s="149"/>
    </row>
    <row r="104" spans="1:22" s="155" customFormat="1" ht="27.75" hidden="1" customHeight="1">
      <c r="A104" s="163" t="s">
        <v>471</v>
      </c>
      <c r="B104" s="163" t="s">
        <v>78</v>
      </c>
      <c r="C104" s="163" t="s">
        <v>299</v>
      </c>
      <c r="D104" s="163"/>
      <c r="E104" s="163" t="s">
        <v>443</v>
      </c>
      <c r="F104" s="139" t="s">
        <v>296</v>
      </c>
      <c r="G104" s="139">
        <v>1</v>
      </c>
      <c r="H104" s="163">
        <v>23002</v>
      </c>
      <c r="I104" s="140" t="str">
        <f>INDEX('6. data thông tin nhân sự'!C:C,MATCH('03. Chi tiết TS các bộ phận'!H104,'6. data thông tin nhân sự'!B:B,0))</f>
        <v>Vũ Thị Mai Linh</v>
      </c>
      <c r="J104" s="140" t="str">
        <f>INDEX('6. data thông tin nhân sự'!G:G,MATCH('03. Chi tiết TS các bộ phận'!H104,'6. data thông tin nhân sự'!B:B,0))</f>
        <v>Thiết kế - Design</v>
      </c>
      <c r="K104" s="140" t="str">
        <f>INDEX('6. data thông tin nhân sự'!D:D,MATCH('03. Chi tiết TS các bộ phận'!H104,'6. data thông tin nhân sự'!B:B,0))</f>
        <v>Chính thức</v>
      </c>
      <c r="L104" s="727"/>
      <c r="M104" s="231">
        <v>46203</v>
      </c>
      <c r="N104" s="231" t="str">
        <f>INDEX('6. data thông tin nhân sự'!N:N, MATCH('03. Chi tiết TS các bộ phận'!H104, '6. data thông tin nhân sự'!B:B,0))</f>
        <v>28/02/2023</v>
      </c>
      <c r="O104" s="163" t="s">
        <v>298</v>
      </c>
      <c r="P104" s="149"/>
      <c r="Q104" s="149"/>
      <c r="R104" s="149"/>
      <c r="S104" s="149"/>
      <c r="T104" s="149"/>
      <c r="U104" s="149"/>
      <c r="V104" s="149"/>
    </row>
    <row r="105" spans="1:22" s="155" customFormat="1" ht="27.75" customHeight="1">
      <c r="A105" s="140" t="s">
        <v>472</v>
      </c>
      <c r="B105" s="140" t="s">
        <v>79</v>
      </c>
      <c r="C105" s="140"/>
      <c r="D105" s="140"/>
      <c r="E105" s="140" t="s">
        <v>443</v>
      </c>
      <c r="F105" s="139" t="s">
        <v>296</v>
      </c>
      <c r="G105" s="139">
        <v>1</v>
      </c>
      <c r="H105" s="163">
        <v>23002</v>
      </c>
      <c r="I105" s="140" t="str">
        <f>INDEX('6. data thông tin nhân sự'!C:C,MATCH('03. Chi tiết TS các bộ phận'!H105,'6. data thông tin nhân sự'!B:B,0))</f>
        <v>Vũ Thị Mai Linh</v>
      </c>
      <c r="J105" s="140" t="str">
        <f>INDEX('6. data thông tin nhân sự'!G:G,MATCH('03. Chi tiết TS các bộ phận'!H105,'6. data thông tin nhân sự'!B:B,0))</f>
        <v>Thiết kế - Design</v>
      </c>
      <c r="K105" s="140" t="str">
        <f>INDEX('6. data thông tin nhân sự'!D:D,MATCH('03. Chi tiết TS các bộ phận'!H105,'6. data thông tin nhân sự'!B:B,0))</f>
        <v>Chính thức</v>
      </c>
      <c r="L105" s="727"/>
      <c r="M105" s="231">
        <v>46203</v>
      </c>
      <c r="N105" s="231" t="str">
        <f>INDEX('6. data thông tin nhân sự'!N:N, MATCH('03. Chi tiết TS các bộ phận'!H105, '6. data thông tin nhân sự'!B:B,0))</f>
        <v>28/02/2023</v>
      </c>
      <c r="O105" s="163" t="s">
        <v>298</v>
      </c>
      <c r="P105" s="165"/>
      <c r="Q105" s="165"/>
      <c r="R105" s="165"/>
      <c r="S105" s="165"/>
      <c r="T105" s="165"/>
      <c r="U105" s="165"/>
      <c r="V105" s="165"/>
    </row>
    <row r="106" spans="1:22" s="155" customFormat="1" ht="86.25" hidden="1" customHeight="1">
      <c r="A106" s="161" t="s">
        <v>473</v>
      </c>
      <c r="B106" s="161" t="s">
        <v>77</v>
      </c>
      <c r="C106" s="161"/>
      <c r="D106" s="236" t="s">
        <v>474</v>
      </c>
      <c r="E106" s="161" t="s">
        <v>443</v>
      </c>
      <c r="F106" s="162" t="s">
        <v>296</v>
      </c>
      <c r="G106" s="162">
        <v>1</v>
      </c>
      <c r="H106" s="161">
        <v>24006</v>
      </c>
      <c r="I106" s="166" t="str">
        <f>INDEX('6. data thông tin nhân sự'!C:C,MATCH('03. Chi tiết TS các bộ phận'!H106,'6. data thông tin nhân sự'!B:B,0))</f>
        <v>Nguyễn Thị Thuỷ Tiên</v>
      </c>
      <c r="J106" s="166" t="str">
        <f>INDEX('6. data thông tin nhân sự'!G:G,MATCH('03. Chi tiết TS các bộ phận'!H106,'6. data thông tin nhân sự'!B:B,0))</f>
        <v>Thiết kế - Design</v>
      </c>
      <c r="K106" s="166" t="str">
        <f>INDEX('6. data thông tin nhân sự'!D:D,MATCH('03. Chi tiết TS các bộ phận'!H106,'6. data thông tin nhân sự'!B:B,0))</f>
        <v>Chính thức</v>
      </c>
      <c r="L106" s="721" t="s">
        <v>475</v>
      </c>
      <c r="M106" s="228">
        <v>46204</v>
      </c>
      <c r="N106" s="228" t="str">
        <f>INDEX('6. data thông tin nhân sự'!N:N, MATCH('03. Chi tiết TS các bộ phận'!H106, '6. data thông tin nhân sự'!B:B,0))</f>
        <v>15/08/2024</v>
      </c>
      <c r="O106" s="161" t="s">
        <v>298</v>
      </c>
      <c r="P106" s="161"/>
      <c r="Q106" s="161"/>
      <c r="R106" s="161"/>
      <c r="S106" s="161"/>
      <c r="T106" s="161"/>
      <c r="U106" s="161"/>
      <c r="V106" s="161"/>
    </row>
    <row r="107" spans="1:22" s="155" customFormat="1" ht="27.75" hidden="1" customHeight="1">
      <c r="A107" s="161" t="s">
        <v>476</v>
      </c>
      <c r="B107" s="161" t="s">
        <v>78</v>
      </c>
      <c r="C107" s="161" t="s">
        <v>299</v>
      </c>
      <c r="D107" s="161"/>
      <c r="E107" s="161" t="s">
        <v>443</v>
      </c>
      <c r="F107" s="162" t="s">
        <v>296</v>
      </c>
      <c r="G107" s="162">
        <v>1</v>
      </c>
      <c r="H107" s="161">
        <v>24006</v>
      </c>
      <c r="I107" s="166" t="str">
        <f>INDEX('6. data thông tin nhân sự'!C:C,MATCH('03. Chi tiết TS các bộ phận'!H107,'6. data thông tin nhân sự'!B:B,0))</f>
        <v>Nguyễn Thị Thuỷ Tiên</v>
      </c>
      <c r="J107" s="166" t="str">
        <f>INDEX('6. data thông tin nhân sự'!G:G,MATCH('03. Chi tiết TS các bộ phận'!H107,'6. data thông tin nhân sự'!B:B,0))</f>
        <v>Thiết kế - Design</v>
      </c>
      <c r="K107" s="166" t="str">
        <f>INDEX('6. data thông tin nhân sự'!D:D,MATCH('03. Chi tiết TS các bộ phận'!H107,'6. data thông tin nhân sự'!B:B,0))</f>
        <v>Chính thức</v>
      </c>
      <c r="L107" s="722"/>
      <c r="M107" s="228">
        <v>46204</v>
      </c>
      <c r="N107" s="228" t="str">
        <f>INDEX('6. data thông tin nhân sự'!N:N, MATCH('03. Chi tiết TS các bộ phận'!H107, '6. data thông tin nhân sự'!B:B,0))</f>
        <v>15/08/2024</v>
      </c>
      <c r="O107" s="161" t="s">
        <v>298</v>
      </c>
      <c r="P107" s="161"/>
      <c r="Q107" s="161"/>
      <c r="R107" s="161"/>
      <c r="S107" s="161"/>
      <c r="T107" s="161"/>
      <c r="U107" s="161"/>
      <c r="V107" s="161"/>
    </row>
    <row r="108" spans="1:22" s="155" customFormat="1" ht="27.75" customHeight="1">
      <c r="A108" s="166" t="s">
        <v>477</v>
      </c>
      <c r="B108" s="166" t="s">
        <v>79</v>
      </c>
      <c r="C108" s="166"/>
      <c r="D108" s="166"/>
      <c r="E108" s="166" t="s">
        <v>443</v>
      </c>
      <c r="F108" s="162" t="s">
        <v>296</v>
      </c>
      <c r="G108" s="162">
        <v>1</v>
      </c>
      <c r="H108" s="161">
        <v>24006</v>
      </c>
      <c r="I108" s="166" t="str">
        <f>INDEX('6. data thông tin nhân sự'!C:C,MATCH('03. Chi tiết TS các bộ phận'!H108,'6. data thông tin nhân sự'!B:B,0))</f>
        <v>Nguyễn Thị Thuỷ Tiên</v>
      </c>
      <c r="J108" s="166" t="str">
        <f>INDEX('6. data thông tin nhân sự'!G:G,MATCH('03. Chi tiết TS các bộ phận'!H108,'6. data thông tin nhân sự'!B:B,0))</f>
        <v>Thiết kế - Design</v>
      </c>
      <c r="K108" s="166" t="str">
        <f>INDEX('6. data thông tin nhân sự'!D:D,MATCH('03. Chi tiết TS các bộ phận'!H108,'6. data thông tin nhân sự'!B:B,0))</f>
        <v>Chính thức</v>
      </c>
      <c r="L108" s="722"/>
      <c r="M108" s="228">
        <v>46204</v>
      </c>
      <c r="N108" s="228" t="str">
        <f>INDEX('6. data thông tin nhân sự'!N:N, MATCH('03. Chi tiết TS các bộ phận'!H108, '6. data thông tin nhân sự'!B:B,0))</f>
        <v>15/08/2024</v>
      </c>
      <c r="O108" s="161" t="s">
        <v>298</v>
      </c>
      <c r="P108" s="166"/>
      <c r="Q108" s="166"/>
      <c r="R108" s="166"/>
      <c r="S108" s="166"/>
      <c r="T108" s="166"/>
      <c r="U108" s="166"/>
      <c r="V108" s="166"/>
    </row>
    <row r="109" spans="1:22" s="155" customFormat="1" ht="63" hidden="1" customHeight="1">
      <c r="A109" s="161" t="s">
        <v>235</v>
      </c>
      <c r="B109" s="161" t="s">
        <v>78</v>
      </c>
      <c r="C109" s="161" t="s">
        <v>299</v>
      </c>
      <c r="D109" s="717" t="s">
        <v>455</v>
      </c>
      <c r="E109" s="161" t="s">
        <v>443</v>
      </c>
      <c r="F109" s="162" t="s">
        <v>296</v>
      </c>
      <c r="G109" s="162">
        <v>1</v>
      </c>
      <c r="H109" s="161">
        <v>24006</v>
      </c>
      <c r="I109" s="166" t="str">
        <f>INDEX('6. data thông tin nhân sự'!C:C,MATCH('03. Chi tiết TS các bộ phận'!H109,'6. data thông tin nhân sự'!B:B,0))</f>
        <v>Nguyễn Thị Thuỷ Tiên</v>
      </c>
      <c r="J109" s="166" t="str">
        <f>INDEX('6. data thông tin nhân sự'!G:G,MATCH('03. Chi tiết TS các bộ phận'!H109,'6. data thông tin nhân sự'!B:B,0))</f>
        <v>Thiết kế - Design</v>
      </c>
      <c r="K109" s="166" t="str">
        <f>INDEX('6. data thông tin nhân sự'!D:D,MATCH('03. Chi tiết TS các bộ phận'!H109,'6. data thông tin nhân sự'!B:B,0))</f>
        <v>Chính thức</v>
      </c>
      <c r="L109" s="723"/>
      <c r="M109" s="228">
        <v>46261</v>
      </c>
      <c r="N109" s="228">
        <v>46261</v>
      </c>
      <c r="O109" s="161" t="s">
        <v>298</v>
      </c>
      <c r="P109" s="166"/>
      <c r="Q109" s="166"/>
      <c r="R109" s="166"/>
      <c r="S109" s="166"/>
      <c r="T109" s="166"/>
      <c r="U109" s="166"/>
      <c r="V109" s="166"/>
    </row>
    <row r="110" spans="1:22" s="155" customFormat="1" ht="113.25" hidden="1" customHeight="1">
      <c r="A110" s="163" t="s">
        <v>478</v>
      </c>
      <c r="B110" s="163" t="s">
        <v>77</v>
      </c>
      <c r="C110" s="163"/>
      <c r="D110" s="252" t="s">
        <v>479</v>
      </c>
      <c r="E110" s="163" t="s">
        <v>443</v>
      </c>
      <c r="F110" s="139" t="s">
        <v>296</v>
      </c>
      <c r="G110" s="139">
        <v>1</v>
      </c>
      <c r="H110" s="163">
        <v>24009</v>
      </c>
      <c r="I110" s="140" t="str">
        <f>INDEX('6. data thông tin nhân sự'!C:C,MATCH('03. Chi tiết TS các bộ phận'!H110,'6. data thông tin nhân sự'!B:B,0))</f>
        <v>Bùi Trịnh Tuệ Khanh</v>
      </c>
      <c r="J110" s="140" t="str">
        <f>INDEX('6. data thông tin nhân sự'!G:G,MATCH('03. Chi tiết TS các bộ phận'!H110,'6. data thông tin nhân sự'!B:B,0))</f>
        <v>Thiết kế - Design</v>
      </c>
      <c r="K110" s="140" t="str">
        <f>INDEX('6. data thông tin nhân sự'!D:D,MATCH('03. Chi tiết TS các bộ phận'!H110,'6. data thông tin nhân sự'!B:B,0))</f>
        <v>Chính thức</v>
      </c>
      <c r="L110" s="718" t="s">
        <v>480</v>
      </c>
      <c r="M110" s="231">
        <v>46204</v>
      </c>
      <c r="N110" s="231" t="str">
        <f>INDEX('6. data thông tin nhân sự'!N:N, MATCH('03. Chi tiết TS các bộ phận'!H110, '6. data thông tin nhân sự'!B:B,0))</f>
        <v>26/12/2024</v>
      </c>
      <c r="O110" s="163" t="s">
        <v>298</v>
      </c>
      <c r="P110" s="149"/>
      <c r="Q110" s="149"/>
      <c r="R110" s="149"/>
      <c r="S110" s="149"/>
      <c r="T110" s="149"/>
      <c r="U110" s="149"/>
      <c r="V110" s="149"/>
    </row>
    <row r="111" spans="1:22" s="155" customFormat="1" ht="27.75" hidden="1" customHeight="1">
      <c r="A111" s="163" t="s">
        <v>481</v>
      </c>
      <c r="B111" s="163" t="s">
        <v>78</v>
      </c>
      <c r="C111" s="163" t="s">
        <v>299</v>
      </c>
      <c r="D111" s="163"/>
      <c r="E111" s="163" t="s">
        <v>443</v>
      </c>
      <c r="F111" s="139" t="s">
        <v>296</v>
      </c>
      <c r="G111" s="139">
        <v>1</v>
      </c>
      <c r="H111" s="163">
        <v>24009</v>
      </c>
      <c r="I111" s="140" t="str">
        <f>INDEX('6. data thông tin nhân sự'!C:C,MATCH('03. Chi tiết TS các bộ phận'!H111,'6. data thông tin nhân sự'!B:B,0))</f>
        <v>Bùi Trịnh Tuệ Khanh</v>
      </c>
      <c r="J111" s="140" t="str">
        <f>INDEX('6. data thông tin nhân sự'!G:G,MATCH('03. Chi tiết TS các bộ phận'!H111,'6. data thông tin nhân sự'!B:B,0))</f>
        <v>Thiết kế - Design</v>
      </c>
      <c r="K111" s="140" t="str">
        <f>INDEX('6. data thông tin nhân sự'!D:D,MATCH('03. Chi tiết TS các bộ phận'!H111,'6. data thông tin nhân sự'!B:B,0))</f>
        <v>Chính thức</v>
      </c>
      <c r="L111" s="719"/>
      <c r="M111" s="231">
        <v>46204</v>
      </c>
      <c r="N111" s="231" t="str">
        <f>INDEX('6. data thông tin nhân sự'!N:N, MATCH('03. Chi tiết TS các bộ phận'!H111, '6. data thông tin nhân sự'!B:B,0))</f>
        <v>26/12/2024</v>
      </c>
      <c r="O111" s="163" t="s">
        <v>298</v>
      </c>
      <c r="P111" s="149"/>
      <c r="Q111" s="149"/>
      <c r="R111" s="149"/>
      <c r="S111" s="149"/>
      <c r="T111" s="149"/>
      <c r="U111" s="149"/>
      <c r="V111" s="149"/>
    </row>
    <row r="112" spans="1:22" s="155" customFormat="1" ht="27.75" customHeight="1">
      <c r="A112" s="140" t="s">
        <v>482</v>
      </c>
      <c r="B112" s="140" t="s">
        <v>79</v>
      </c>
      <c r="C112" s="140"/>
      <c r="D112" s="140"/>
      <c r="E112" s="140" t="s">
        <v>443</v>
      </c>
      <c r="F112" s="139" t="s">
        <v>296</v>
      </c>
      <c r="G112" s="139">
        <v>1</v>
      </c>
      <c r="H112" s="163">
        <v>24009</v>
      </c>
      <c r="I112" s="140" t="str">
        <f>INDEX('6. data thông tin nhân sự'!C:C,MATCH('03. Chi tiết TS các bộ phận'!H112,'6. data thông tin nhân sự'!B:B,0))</f>
        <v>Bùi Trịnh Tuệ Khanh</v>
      </c>
      <c r="J112" s="140" t="str">
        <f>INDEX('6. data thông tin nhân sự'!G:G,MATCH('03. Chi tiết TS các bộ phận'!H112,'6. data thông tin nhân sự'!B:B,0))</f>
        <v>Thiết kế - Design</v>
      </c>
      <c r="K112" s="140" t="str">
        <f>INDEX('6. data thông tin nhân sự'!D:D,MATCH('03. Chi tiết TS các bộ phận'!H112,'6. data thông tin nhân sự'!B:B,0))</f>
        <v>Chính thức</v>
      </c>
      <c r="L112" s="719"/>
      <c r="M112" s="231">
        <v>46204</v>
      </c>
      <c r="N112" s="231" t="str">
        <f>INDEX('6. data thông tin nhân sự'!N:N, MATCH('03. Chi tiết TS các bộ phận'!H112, '6. data thông tin nhân sự'!B:B,0))</f>
        <v>26/12/2024</v>
      </c>
      <c r="O112" s="163" t="s">
        <v>298</v>
      </c>
      <c r="P112" s="149"/>
      <c r="Q112" s="149"/>
      <c r="R112" s="149"/>
      <c r="S112" s="149"/>
      <c r="T112" s="149"/>
      <c r="U112" s="149"/>
      <c r="V112" s="149"/>
    </row>
    <row r="113" spans="1:23" s="155" customFormat="1" ht="27.75" hidden="1" customHeight="1">
      <c r="A113" s="163" t="s">
        <v>483</v>
      </c>
      <c r="B113" s="163" t="s">
        <v>80</v>
      </c>
      <c r="C113" s="163"/>
      <c r="D113" s="163"/>
      <c r="E113" s="163" t="s">
        <v>443</v>
      </c>
      <c r="F113" s="139" t="s">
        <v>296</v>
      </c>
      <c r="G113" s="139">
        <v>1</v>
      </c>
      <c r="H113" s="163">
        <v>24009</v>
      </c>
      <c r="I113" s="140" t="str">
        <f>INDEX('6. data thông tin nhân sự'!C:C,MATCH('03. Chi tiết TS các bộ phận'!H113,'6. data thông tin nhân sự'!B:B,0))</f>
        <v>Bùi Trịnh Tuệ Khanh</v>
      </c>
      <c r="J113" s="140" t="str">
        <f>INDEX('6. data thông tin nhân sự'!G:G,MATCH('03. Chi tiết TS các bộ phận'!H113,'6. data thông tin nhân sự'!B:B,0))</f>
        <v>Thiết kế - Design</v>
      </c>
      <c r="K113" s="140" t="str">
        <f>INDEX('6. data thông tin nhân sự'!D:D,MATCH('03. Chi tiết TS các bộ phận'!H113,'6. data thông tin nhân sự'!B:B,0))</f>
        <v>Chính thức</v>
      </c>
      <c r="L113" s="719"/>
      <c r="M113" s="231">
        <v>46204</v>
      </c>
      <c r="N113" s="231" t="str">
        <f>INDEX('6. data thông tin nhân sự'!N:N, MATCH('03. Chi tiết TS các bộ phận'!H113, '6. data thông tin nhân sự'!B:B,0))</f>
        <v>26/12/2024</v>
      </c>
      <c r="O113" s="163" t="s">
        <v>298</v>
      </c>
      <c r="P113" s="149"/>
      <c r="Q113" s="149"/>
      <c r="R113" s="149"/>
      <c r="S113" s="149"/>
      <c r="T113" s="149"/>
      <c r="U113" s="149"/>
      <c r="V113" s="149"/>
    </row>
    <row r="114" spans="1:23" s="155" customFormat="1" ht="56.25" hidden="1" customHeight="1">
      <c r="A114" s="163" t="s">
        <v>230</v>
      </c>
      <c r="B114" s="163" t="s">
        <v>78</v>
      </c>
      <c r="C114" s="163" t="s">
        <v>299</v>
      </c>
      <c r="D114" s="252" t="s">
        <v>455</v>
      </c>
      <c r="E114" s="163" t="s">
        <v>443</v>
      </c>
      <c r="F114" s="139" t="s">
        <v>296</v>
      </c>
      <c r="G114" s="139">
        <v>1</v>
      </c>
      <c r="H114" s="163">
        <v>24009</v>
      </c>
      <c r="I114" s="140" t="str">
        <f>INDEX('6. data thông tin nhân sự'!C:C,MATCH('03. Chi tiết TS các bộ phận'!H114,'6. data thông tin nhân sự'!B:B,0))</f>
        <v>Bùi Trịnh Tuệ Khanh</v>
      </c>
      <c r="J114" s="140" t="str">
        <f>INDEX('6. data thông tin nhân sự'!G:G,MATCH('03. Chi tiết TS các bộ phận'!H114,'6. data thông tin nhân sự'!B:B,0))</f>
        <v>Thiết kế - Design</v>
      </c>
      <c r="K114" s="140" t="str">
        <f>INDEX('6. data thông tin nhân sự'!D:D,MATCH('03. Chi tiết TS các bộ phận'!H114,'6. data thông tin nhân sự'!B:B,0))</f>
        <v>Chính thức</v>
      </c>
      <c r="L114" s="720"/>
      <c r="M114" s="231">
        <v>46261</v>
      </c>
      <c r="N114" s="231">
        <v>46261</v>
      </c>
      <c r="O114" s="163" t="s">
        <v>298</v>
      </c>
      <c r="P114" s="149"/>
      <c r="Q114" s="149" t="s">
        <v>484</v>
      </c>
      <c r="R114" s="149"/>
      <c r="S114" s="149"/>
      <c r="T114" s="149"/>
      <c r="U114" s="149"/>
      <c r="V114" s="149"/>
    </row>
    <row r="115" spans="1:23" ht="39.75" hidden="1" customHeight="1">
      <c r="A115" s="161" t="s">
        <v>187</v>
      </c>
      <c r="B115" s="161" t="s">
        <v>77</v>
      </c>
      <c r="C115" s="161"/>
      <c r="D115" s="236" t="s">
        <v>485</v>
      </c>
      <c r="E115" s="161" t="s">
        <v>443</v>
      </c>
      <c r="F115" s="162" t="s">
        <v>296</v>
      </c>
      <c r="G115" s="162">
        <v>1</v>
      </c>
      <c r="H115" s="161">
        <v>26027</v>
      </c>
      <c r="I115" s="166" t="str">
        <f>INDEX('6. data thông tin nhân sự'!C:C,MATCH('03. Chi tiết TS các bộ phận'!H115,'6. data thông tin nhân sự'!B:B,0))</f>
        <v>Trần Duy Nam</v>
      </c>
      <c r="J115" s="166" t="str">
        <f>INDEX('6. data thông tin nhân sự'!G:G,MATCH('03. Chi tiết TS các bộ phận'!H115,'6. data thông tin nhân sự'!B:B,0))</f>
        <v>Thiết kế - Design</v>
      </c>
      <c r="K115" s="166" t="str">
        <f>INDEX('6. data thông tin nhân sự'!D:D,MATCH('03. Chi tiết TS các bộ phận'!H115,'6. data thông tin nhân sự'!B:B,0))</f>
        <v>Thử việc</v>
      </c>
      <c r="L115" s="726"/>
      <c r="M115" s="741"/>
      <c r="N115" s="228"/>
      <c r="O115" s="149" t="s">
        <v>298</v>
      </c>
      <c r="P115" s="735" t="s">
        <v>486</v>
      </c>
      <c r="Q115" s="161" t="s">
        <v>487</v>
      </c>
      <c r="R115" s="229" t="s">
        <v>488</v>
      </c>
      <c r="S115" s="161"/>
      <c r="T115" s="161"/>
      <c r="U115" s="161"/>
      <c r="V115" s="161"/>
      <c r="W115" s="155"/>
    </row>
    <row r="116" spans="1:23" ht="39.75" hidden="1" customHeight="1">
      <c r="A116" s="161" t="s">
        <v>191</v>
      </c>
      <c r="B116" s="161" t="s">
        <v>78</v>
      </c>
      <c r="C116" s="161" t="s">
        <v>299</v>
      </c>
      <c r="D116" s="161"/>
      <c r="E116" s="161" t="s">
        <v>443</v>
      </c>
      <c r="F116" s="162" t="s">
        <v>296</v>
      </c>
      <c r="G116" s="162">
        <v>1</v>
      </c>
      <c r="H116" s="161">
        <v>26027</v>
      </c>
      <c r="I116" s="166" t="str">
        <f>INDEX('6. data thông tin nhân sự'!C:C,MATCH('03. Chi tiết TS các bộ phận'!H116,'6. data thông tin nhân sự'!B:B,0))</f>
        <v>Trần Duy Nam</v>
      </c>
      <c r="J116" s="166" t="str">
        <f>INDEX('6. data thông tin nhân sự'!G:G,MATCH('03. Chi tiết TS các bộ phận'!H116,'6. data thông tin nhân sự'!B:B,0))</f>
        <v>Thiết kế - Design</v>
      </c>
      <c r="K116" s="166" t="str">
        <f>INDEX('6. data thông tin nhân sự'!D:D,MATCH('03. Chi tiết TS các bộ phận'!H116,'6. data thông tin nhân sự'!B:B,0))</f>
        <v>Thử việc</v>
      </c>
      <c r="L116" s="726"/>
      <c r="M116" s="726"/>
      <c r="N116" s="228"/>
      <c r="O116" s="149" t="s">
        <v>298</v>
      </c>
      <c r="P116" s="740"/>
      <c r="Q116" s="161" t="s">
        <v>487</v>
      </c>
      <c r="R116" s="229" t="s">
        <v>488</v>
      </c>
      <c r="S116" s="161"/>
      <c r="T116" s="161"/>
      <c r="U116" s="161"/>
      <c r="V116" s="161"/>
      <c r="W116" s="155"/>
    </row>
    <row r="117" spans="1:23" ht="39.75" hidden="1" customHeight="1">
      <c r="A117" s="161" t="s">
        <v>193</v>
      </c>
      <c r="B117" s="161" t="s">
        <v>80</v>
      </c>
      <c r="C117" s="161"/>
      <c r="D117" s="161"/>
      <c r="E117" s="161" t="s">
        <v>443</v>
      </c>
      <c r="F117" s="162" t="s">
        <v>296</v>
      </c>
      <c r="G117" s="162">
        <v>1</v>
      </c>
      <c r="H117" s="161">
        <v>26027</v>
      </c>
      <c r="I117" s="166" t="str">
        <f>INDEX('6. data thông tin nhân sự'!C:C,MATCH('03. Chi tiết TS các bộ phận'!H117,'6. data thông tin nhân sự'!B:B,0))</f>
        <v>Trần Duy Nam</v>
      </c>
      <c r="J117" s="166" t="str">
        <f>INDEX('6. data thông tin nhân sự'!G:G,MATCH('03. Chi tiết TS các bộ phận'!H117,'6. data thông tin nhân sự'!B:B,0))</f>
        <v>Thiết kế - Design</v>
      </c>
      <c r="K117" s="166" t="str">
        <f>INDEX('6. data thông tin nhân sự'!D:D,MATCH('03. Chi tiết TS các bộ phận'!H117,'6. data thông tin nhân sự'!B:B,0))</f>
        <v>Thử việc</v>
      </c>
      <c r="L117" s="726"/>
      <c r="M117" s="726"/>
      <c r="N117" s="228"/>
      <c r="O117" s="149" t="s">
        <v>298</v>
      </c>
      <c r="P117" s="740"/>
      <c r="Q117" s="161" t="s">
        <v>487</v>
      </c>
      <c r="R117" s="229" t="s">
        <v>488</v>
      </c>
      <c r="S117" s="161"/>
      <c r="T117" s="161"/>
      <c r="U117" s="161"/>
      <c r="V117" s="161"/>
      <c r="W117" s="155"/>
    </row>
    <row r="118" spans="1:23" ht="39.75" customHeight="1">
      <c r="A118" s="166" t="s">
        <v>192</v>
      </c>
      <c r="B118" s="166" t="s">
        <v>79</v>
      </c>
      <c r="C118" s="166"/>
      <c r="D118" s="166"/>
      <c r="E118" s="166" t="s">
        <v>443</v>
      </c>
      <c r="F118" s="162" t="s">
        <v>296</v>
      </c>
      <c r="G118" s="162">
        <v>1</v>
      </c>
      <c r="H118" s="161">
        <v>26027</v>
      </c>
      <c r="I118" s="166" t="str">
        <f>INDEX('6. data thông tin nhân sự'!C:C,MATCH('03. Chi tiết TS các bộ phận'!H118,'6. data thông tin nhân sự'!B:B,0))</f>
        <v>Trần Duy Nam</v>
      </c>
      <c r="J118" s="166" t="str">
        <f>INDEX('6. data thông tin nhân sự'!G:G,MATCH('03. Chi tiết TS các bộ phận'!H118,'6. data thông tin nhân sự'!B:B,0))</f>
        <v>Thiết kế - Design</v>
      </c>
      <c r="K118" s="166" t="str">
        <f>INDEX('6. data thông tin nhân sự'!D:D,MATCH('03. Chi tiết TS các bộ phận'!H118,'6. data thông tin nhân sự'!B:B,0))</f>
        <v>Thử việc</v>
      </c>
      <c r="L118" s="726"/>
      <c r="M118" s="726"/>
      <c r="N118" s="228"/>
      <c r="O118" s="149" t="s">
        <v>298</v>
      </c>
      <c r="P118" s="736"/>
      <c r="Q118" s="161" t="s">
        <v>487</v>
      </c>
      <c r="R118" s="229" t="s">
        <v>488</v>
      </c>
      <c r="S118" s="161"/>
      <c r="T118" s="161"/>
      <c r="U118" s="161"/>
      <c r="V118" s="161"/>
      <c r="W118" s="155"/>
    </row>
    <row r="119" spans="1:23" s="155" customFormat="1" ht="27.75" hidden="1" customHeight="1">
      <c r="A119" s="157" t="s">
        <v>489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9"/>
      <c r="N119" s="159"/>
      <c r="O119" s="158"/>
      <c r="P119" s="158"/>
      <c r="Q119" s="158"/>
      <c r="R119" s="189"/>
      <c r="S119" s="189"/>
      <c r="T119" s="189"/>
      <c r="U119" s="189"/>
      <c r="V119" s="189"/>
    </row>
    <row r="120" spans="1:23" s="155" customFormat="1" ht="72" hidden="1" customHeight="1">
      <c r="A120" s="161" t="s">
        <v>490</v>
      </c>
      <c r="B120" s="161" t="s">
        <v>77</v>
      </c>
      <c r="C120" s="161"/>
      <c r="D120" s="236" t="s">
        <v>491</v>
      </c>
      <c r="E120" s="161" t="s">
        <v>492</v>
      </c>
      <c r="F120" s="162" t="s">
        <v>296</v>
      </c>
      <c r="G120" s="162">
        <v>1</v>
      </c>
      <c r="H120" s="161">
        <v>17001</v>
      </c>
      <c r="I120" s="166" t="str">
        <f>INDEX('6. data thông tin nhân sự'!C:C,MATCH('03. Chi tiết TS các bộ phận'!H120,'6. data thông tin nhân sự'!B:B,0))</f>
        <v>Nguyễn Thị Hồng</v>
      </c>
      <c r="J120" s="166" t="str">
        <f>INDEX('6. data thông tin nhân sự'!G:G,MATCH('03. Chi tiết TS các bộ phận'!H120,'6. data thông tin nhân sự'!B:B,0))</f>
        <v>Tài chính &amp; Kế toán  - Finance &amp; Accounting</v>
      </c>
      <c r="K120" s="166" t="str">
        <f>INDEX('6. data thông tin nhân sự'!D:D,MATCH('03. Chi tiết TS các bộ phận'!H120,'6. data thông tin nhân sự'!B:B,0))</f>
        <v>Chính thức</v>
      </c>
      <c r="L120" s="726" t="s">
        <v>493</v>
      </c>
      <c r="M120" s="228">
        <v>46204</v>
      </c>
      <c r="N120" s="228" t="str">
        <f>INDEX('6. data thông tin nhân sự'!N:N, MATCH('03. Chi tiết TS các bộ phận'!H120, '6. data thông tin nhân sự'!B:B,0))</f>
        <v>15/03/2017</v>
      </c>
      <c r="O120" s="161" t="s">
        <v>298</v>
      </c>
      <c r="P120" s="161"/>
      <c r="Q120" s="161"/>
      <c r="R120" s="161"/>
      <c r="S120" s="161"/>
      <c r="T120" s="161"/>
      <c r="U120" s="161"/>
      <c r="V120" s="161"/>
    </row>
    <row r="121" spans="1:23" s="155" customFormat="1" ht="27.75" hidden="1" customHeight="1">
      <c r="A121" s="161" t="s">
        <v>494</v>
      </c>
      <c r="B121" s="161" t="s">
        <v>78</v>
      </c>
      <c r="C121" s="161" t="s">
        <v>299</v>
      </c>
      <c r="D121" s="161"/>
      <c r="E121" s="161" t="s">
        <v>492</v>
      </c>
      <c r="F121" s="162" t="s">
        <v>296</v>
      </c>
      <c r="G121" s="162">
        <v>1</v>
      </c>
      <c r="H121" s="161">
        <v>17001</v>
      </c>
      <c r="I121" s="166" t="str">
        <f>INDEX('6. data thông tin nhân sự'!C:C,MATCH('03. Chi tiết TS các bộ phận'!H121,'6. data thông tin nhân sự'!B:B,0))</f>
        <v>Nguyễn Thị Hồng</v>
      </c>
      <c r="J121" s="166" t="str">
        <f>INDEX('6. data thông tin nhân sự'!G:G,MATCH('03. Chi tiết TS các bộ phận'!H121,'6. data thông tin nhân sự'!B:B,0))</f>
        <v>Tài chính &amp; Kế toán  - Finance &amp; Accounting</v>
      </c>
      <c r="K121" s="166" t="str">
        <f>INDEX('6. data thông tin nhân sự'!D:D,MATCH('03. Chi tiết TS các bộ phận'!H121,'6. data thông tin nhân sự'!B:B,0))</f>
        <v>Chính thức</v>
      </c>
      <c r="L121" s="726"/>
      <c r="M121" s="228">
        <v>46204</v>
      </c>
      <c r="N121" s="228" t="str">
        <f>INDEX('6. data thông tin nhân sự'!N:N, MATCH('03. Chi tiết TS các bộ phận'!H121, '6. data thông tin nhân sự'!B:B,0))</f>
        <v>15/03/2017</v>
      </c>
      <c r="O121" s="161" t="s">
        <v>298</v>
      </c>
      <c r="P121" s="161"/>
      <c r="Q121" s="161"/>
      <c r="R121" s="161"/>
      <c r="S121" s="161"/>
      <c r="T121" s="161"/>
      <c r="U121" s="161"/>
      <c r="V121" s="161"/>
    </row>
    <row r="122" spans="1:23" s="155" customFormat="1" ht="27.75" hidden="1" customHeight="1">
      <c r="A122" s="161" t="s">
        <v>495</v>
      </c>
      <c r="B122" s="161" t="s">
        <v>80</v>
      </c>
      <c r="C122" s="186"/>
      <c r="D122" s="161"/>
      <c r="E122" s="161" t="s">
        <v>492</v>
      </c>
      <c r="F122" s="162" t="s">
        <v>296</v>
      </c>
      <c r="G122" s="162">
        <v>1</v>
      </c>
      <c r="H122" s="161">
        <v>17001</v>
      </c>
      <c r="I122" s="166" t="str">
        <f>INDEX('6. data thông tin nhân sự'!C:C,MATCH('03. Chi tiết TS các bộ phận'!H122,'6. data thông tin nhân sự'!B:B,0))</f>
        <v>Nguyễn Thị Hồng</v>
      </c>
      <c r="J122" s="166" t="str">
        <f>INDEX('6. data thông tin nhân sự'!G:G,MATCH('03. Chi tiết TS các bộ phận'!H122,'6. data thông tin nhân sự'!B:B,0))</f>
        <v>Tài chính &amp; Kế toán  - Finance &amp; Accounting</v>
      </c>
      <c r="K122" s="166" t="str">
        <f>INDEX('6. data thông tin nhân sự'!D:D,MATCH('03. Chi tiết TS các bộ phận'!H122,'6. data thông tin nhân sự'!B:B,0))</f>
        <v>Chính thức</v>
      </c>
      <c r="L122" s="726"/>
      <c r="M122" s="228">
        <v>46204</v>
      </c>
      <c r="N122" s="228" t="str">
        <f>INDEX('6. data thông tin nhân sự'!N:N, MATCH('03. Chi tiết TS các bộ phận'!H122, '6. data thông tin nhân sự'!B:B,0))</f>
        <v>15/03/2017</v>
      </c>
      <c r="O122" s="161" t="s">
        <v>298</v>
      </c>
      <c r="P122" s="161"/>
      <c r="Q122" s="161"/>
      <c r="R122" s="161"/>
      <c r="S122" s="161"/>
      <c r="T122" s="161"/>
      <c r="U122" s="161"/>
      <c r="V122" s="161"/>
    </row>
    <row r="123" spans="1:23" s="155" customFormat="1" ht="27.75" customHeight="1">
      <c r="A123" s="166" t="s">
        <v>496</v>
      </c>
      <c r="B123" s="166" t="s">
        <v>79</v>
      </c>
      <c r="C123" s="185"/>
      <c r="D123" s="166"/>
      <c r="E123" s="161" t="s">
        <v>492</v>
      </c>
      <c r="F123" s="162" t="s">
        <v>296</v>
      </c>
      <c r="G123" s="162">
        <v>1</v>
      </c>
      <c r="H123" s="161">
        <v>17001</v>
      </c>
      <c r="I123" s="166" t="str">
        <f>INDEX('6. data thông tin nhân sự'!C:C,MATCH('03. Chi tiết TS các bộ phận'!H123,'6. data thông tin nhân sự'!B:B,0))</f>
        <v>Nguyễn Thị Hồng</v>
      </c>
      <c r="J123" s="166" t="str">
        <f>INDEX('6. data thông tin nhân sự'!G:G,MATCH('03. Chi tiết TS các bộ phận'!H123,'6. data thông tin nhân sự'!B:B,0))</f>
        <v>Tài chính &amp; Kế toán  - Finance &amp; Accounting</v>
      </c>
      <c r="K123" s="166" t="str">
        <f>INDEX('6. data thông tin nhân sự'!D:D,MATCH('03. Chi tiết TS các bộ phận'!H123,'6. data thông tin nhân sự'!B:B,0))</f>
        <v>Chính thức</v>
      </c>
      <c r="L123" s="726"/>
      <c r="M123" s="228">
        <v>46204</v>
      </c>
      <c r="N123" s="228" t="str">
        <f>INDEX('6. data thông tin nhân sự'!N:N, MATCH('03. Chi tiết TS các bộ phận'!H123, '6. data thông tin nhân sự'!B:B,0))</f>
        <v>15/03/2017</v>
      </c>
      <c r="O123" s="161" t="s">
        <v>298</v>
      </c>
      <c r="P123" s="166"/>
      <c r="Q123" s="166"/>
      <c r="R123" s="166"/>
      <c r="S123" s="166"/>
      <c r="T123" s="166"/>
      <c r="U123" s="166"/>
      <c r="V123" s="166"/>
    </row>
    <row r="124" spans="1:23" s="155" customFormat="1" ht="85.5" hidden="1" customHeight="1">
      <c r="A124" s="163" t="s">
        <v>497</v>
      </c>
      <c r="B124" s="163" t="s">
        <v>77</v>
      </c>
      <c r="C124" s="163"/>
      <c r="D124" s="252" t="s">
        <v>498</v>
      </c>
      <c r="E124" s="163" t="s">
        <v>492</v>
      </c>
      <c r="F124" s="139" t="s">
        <v>296</v>
      </c>
      <c r="G124" s="139">
        <v>1</v>
      </c>
      <c r="H124" s="163">
        <v>10004</v>
      </c>
      <c r="I124" s="140" t="str">
        <f>INDEX('6. data thông tin nhân sự'!C:C,MATCH('03. Chi tiết TS các bộ phận'!H124,'6. data thông tin nhân sự'!B:B,0))</f>
        <v>Nguyễn Phương Anh</v>
      </c>
      <c r="J124" s="140" t="str">
        <f>INDEX('6. data thông tin nhân sự'!G:G,MATCH('03. Chi tiết TS các bộ phận'!H124,'6. data thông tin nhân sự'!B:B,0))</f>
        <v>Tài chính &amp; Kế toán  - Finance &amp; Accounting</v>
      </c>
      <c r="K124" s="140" t="str">
        <f>INDEX('6. data thông tin nhân sự'!D:D,MATCH('03. Chi tiết TS các bộ phận'!H124,'6. data thông tin nhân sự'!B:B,0))</f>
        <v>Chính thức</v>
      </c>
      <c r="L124" s="727" t="s">
        <v>499</v>
      </c>
      <c r="M124" s="231">
        <v>46204</v>
      </c>
      <c r="N124" s="231" t="str">
        <f>INDEX('6. data thông tin nhân sự'!N:N, MATCH('03. Chi tiết TS các bộ phận'!H124, '6. data thông tin nhân sự'!B:B,0))</f>
        <v>20/03/2010</v>
      </c>
      <c r="O124" s="163" t="s">
        <v>298</v>
      </c>
      <c r="P124" s="149"/>
      <c r="Q124" s="149"/>
      <c r="R124" s="149"/>
      <c r="S124" s="149"/>
      <c r="T124" s="149"/>
      <c r="U124" s="149"/>
      <c r="V124" s="149"/>
    </row>
    <row r="125" spans="1:23" s="155" customFormat="1" ht="27.75" hidden="1" customHeight="1">
      <c r="A125" s="163" t="s">
        <v>500</v>
      </c>
      <c r="B125" s="163" t="s">
        <v>78</v>
      </c>
      <c r="C125" s="163" t="s">
        <v>299</v>
      </c>
      <c r="D125" s="163"/>
      <c r="E125" s="163" t="s">
        <v>492</v>
      </c>
      <c r="F125" s="139" t="s">
        <v>296</v>
      </c>
      <c r="G125" s="139">
        <v>1</v>
      </c>
      <c r="H125" s="163">
        <v>10004</v>
      </c>
      <c r="I125" s="140" t="str">
        <f>INDEX('6. data thông tin nhân sự'!C:C,MATCH('03. Chi tiết TS các bộ phận'!H125,'6. data thông tin nhân sự'!B:B,0))</f>
        <v>Nguyễn Phương Anh</v>
      </c>
      <c r="J125" s="140" t="str">
        <f>INDEX('6. data thông tin nhân sự'!G:G,MATCH('03. Chi tiết TS các bộ phận'!H125,'6. data thông tin nhân sự'!B:B,0))</f>
        <v>Tài chính &amp; Kế toán  - Finance &amp; Accounting</v>
      </c>
      <c r="K125" s="140" t="str">
        <f>INDEX('6. data thông tin nhân sự'!D:D,MATCH('03. Chi tiết TS các bộ phận'!H125,'6. data thông tin nhân sự'!B:B,0))</f>
        <v>Chính thức</v>
      </c>
      <c r="L125" s="727"/>
      <c r="M125" s="231">
        <v>46204</v>
      </c>
      <c r="N125" s="231" t="str">
        <f>INDEX('6. data thông tin nhân sự'!N:N, MATCH('03. Chi tiết TS các bộ phận'!H125, '6. data thông tin nhân sự'!B:B,0))</f>
        <v>20/03/2010</v>
      </c>
      <c r="O125" s="163" t="s">
        <v>298</v>
      </c>
      <c r="P125" s="149"/>
      <c r="Q125" s="149"/>
      <c r="R125" s="149"/>
      <c r="S125" s="149"/>
      <c r="T125" s="149"/>
      <c r="U125" s="149"/>
      <c r="V125" s="149"/>
    </row>
    <row r="126" spans="1:23" s="155" customFormat="1" ht="27.75" hidden="1" customHeight="1">
      <c r="A126" s="163" t="s">
        <v>501</v>
      </c>
      <c r="B126" s="163" t="s">
        <v>80</v>
      </c>
      <c r="C126" s="163"/>
      <c r="D126" s="163"/>
      <c r="E126" s="163" t="s">
        <v>492</v>
      </c>
      <c r="F126" s="139" t="s">
        <v>296</v>
      </c>
      <c r="G126" s="139">
        <v>1</v>
      </c>
      <c r="H126" s="163">
        <v>10004</v>
      </c>
      <c r="I126" s="140" t="str">
        <f>INDEX('6. data thông tin nhân sự'!C:C,MATCH('03. Chi tiết TS các bộ phận'!H126,'6. data thông tin nhân sự'!B:B,0))</f>
        <v>Nguyễn Phương Anh</v>
      </c>
      <c r="J126" s="140" t="str">
        <f>INDEX('6. data thông tin nhân sự'!G:G,MATCH('03. Chi tiết TS các bộ phận'!H126,'6. data thông tin nhân sự'!B:B,0))</f>
        <v>Tài chính &amp; Kế toán  - Finance &amp; Accounting</v>
      </c>
      <c r="K126" s="140" t="str">
        <f>INDEX('6. data thông tin nhân sự'!D:D,MATCH('03. Chi tiết TS các bộ phận'!H126,'6. data thông tin nhân sự'!B:B,0))</f>
        <v>Chính thức</v>
      </c>
      <c r="L126" s="727"/>
      <c r="M126" s="231">
        <v>46204</v>
      </c>
      <c r="N126" s="231" t="str">
        <f>INDEX('6. data thông tin nhân sự'!N:N, MATCH('03. Chi tiết TS các bộ phận'!H126, '6. data thông tin nhân sự'!B:B,0))</f>
        <v>20/03/2010</v>
      </c>
      <c r="O126" s="163" t="s">
        <v>298</v>
      </c>
      <c r="P126" s="149"/>
      <c r="Q126" s="149"/>
      <c r="R126" s="149"/>
      <c r="S126" s="149"/>
      <c r="T126" s="149"/>
      <c r="U126" s="149"/>
      <c r="V126" s="149"/>
    </row>
    <row r="127" spans="1:23" s="155" customFormat="1" ht="27.75" customHeight="1">
      <c r="A127" s="140" t="s">
        <v>502</v>
      </c>
      <c r="B127" s="140" t="s">
        <v>79</v>
      </c>
      <c r="C127" s="140"/>
      <c r="D127" s="140"/>
      <c r="E127" s="163" t="s">
        <v>492</v>
      </c>
      <c r="F127" s="139" t="s">
        <v>296</v>
      </c>
      <c r="G127" s="139">
        <v>1</v>
      </c>
      <c r="H127" s="163">
        <v>10004</v>
      </c>
      <c r="I127" s="140" t="str">
        <f>INDEX('6. data thông tin nhân sự'!C:C,MATCH('03. Chi tiết TS các bộ phận'!H127,'6. data thông tin nhân sự'!B:B,0))</f>
        <v>Nguyễn Phương Anh</v>
      </c>
      <c r="J127" s="140" t="str">
        <f>INDEX('6. data thông tin nhân sự'!G:G,MATCH('03. Chi tiết TS các bộ phận'!H127,'6. data thông tin nhân sự'!B:B,0))</f>
        <v>Tài chính &amp; Kế toán  - Finance &amp; Accounting</v>
      </c>
      <c r="K127" s="140" t="str">
        <f>INDEX('6. data thông tin nhân sự'!D:D,MATCH('03. Chi tiết TS các bộ phận'!H127,'6. data thông tin nhân sự'!B:B,0))</f>
        <v>Chính thức</v>
      </c>
      <c r="L127" s="727"/>
      <c r="M127" s="231">
        <v>46204</v>
      </c>
      <c r="N127" s="231" t="str">
        <f>INDEX('6. data thông tin nhân sự'!N:N, MATCH('03. Chi tiết TS các bộ phận'!H127, '6. data thông tin nhân sự'!B:B,0))</f>
        <v>20/03/2010</v>
      </c>
      <c r="O127" s="163" t="s">
        <v>298</v>
      </c>
      <c r="P127" s="165"/>
      <c r="Q127" s="165"/>
      <c r="R127" s="165"/>
      <c r="S127" s="165"/>
      <c r="T127" s="165"/>
      <c r="U127" s="165"/>
      <c r="V127" s="165"/>
    </row>
    <row r="128" spans="1:23" s="155" customFormat="1" ht="96.75" hidden="1" customHeight="1">
      <c r="A128" s="161" t="s">
        <v>503</v>
      </c>
      <c r="B128" s="161" t="s">
        <v>77</v>
      </c>
      <c r="C128" s="161"/>
      <c r="D128" s="236" t="s">
        <v>504</v>
      </c>
      <c r="E128" s="161" t="s">
        <v>492</v>
      </c>
      <c r="F128" s="162" t="s">
        <v>296</v>
      </c>
      <c r="G128" s="162">
        <v>1</v>
      </c>
      <c r="H128" s="161">
        <v>25039</v>
      </c>
      <c r="I128" s="166" t="str">
        <f>INDEX('6. data thông tin nhân sự'!C:C,MATCH('03. Chi tiết TS các bộ phận'!H128,'6. data thông tin nhân sự'!B:B,0))</f>
        <v>Nguyễn Thị Thu Hoài</v>
      </c>
      <c r="J128" s="166" t="str">
        <f>INDEX('6. data thông tin nhân sự'!G:G,MATCH('03. Chi tiết TS các bộ phận'!H128,'6. data thông tin nhân sự'!B:B,0))</f>
        <v>Tài chính &amp; Kế toán  - Finance &amp; Accounting</v>
      </c>
      <c r="K128" s="166" t="str">
        <f>INDEX('6. data thông tin nhân sự'!D:D,MATCH('03. Chi tiết TS các bộ phận'!H128,'6. data thông tin nhân sự'!B:B,0))</f>
        <v>Chính thức</v>
      </c>
      <c r="L128" s="721" t="s">
        <v>505</v>
      </c>
      <c r="M128" s="228">
        <v>46204</v>
      </c>
      <c r="N128" s="228" t="str">
        <f>INDEX('6. data thông tin nhân sự'!N:N, MATCH('03. Chi tiết TS các bộ phận'!H128, '6. data thông tin nhân sự'!B:B,0))</f>
        <v>17/11/2025</v>
      </c>
      <c r="O128" s="161" t="s">
        <v>298</v>
      </c>
      <c r="P128" s="161"/>
      <c r="Q128" s="161"/>
      <c r="R128" s="229"/>
      <c r="S128" s="229"/>
      <c r="T128" s="229"/>
      <c r="U128" s="229"/>
      <c r="V128" s="229"/>
    </row>
    <row r="129" spans="1:22" s="155" customFormat="1" ht="59.25" hidden="1" customHeight="1">
      <c r="A129" s="161" t="s">
        <v>506</v>
      </c>
      <c r="B129" s="161" t="s">
        <v>78</v>
      </c>
      <c r="C129" s="161" t="s">
        <v>299</v>
      </c>
      <c r="D129" s="161"/>
      <c r="E129" s="161" t="s">
        <v>492</v>
      </c>
      <c r="F129" s="162" t="s">
        <v>296</v>
      </c>
      <c r="G129" s="162">
        <v>1</v>
      </c>
      <c r="H129" s="161">
        <v>25039</v>
      </c>
      <c r="I129" s="166" t="str">
        <f>INDEX('6. data thông tin nhân sự'!C:C,MATCH('03. Chi tiết TS các bộ phận'!H129,'6. data thông tin nhân sự'!B:B,0))</f>
        <v>Nguyễn Thị Thu Hoài</v>
      </c>
      <c r="J129" s="166" t="str">
        <f>INDEX('6. data thông tin nhân sự'!G:G,MATCH('03. Chi tiết TS các bộ phận'!H129,'6. data thông tin nhân sự'!B:B,0))</f>
        <v>Tài chính &amp; Kế toán  - Finance &amp; Accounting</v>
      </c>
      <c r="K129" s="166" t="str">
        <f>INDEX('6. data thông tin nhân sự'!D:D,MATCH('03. Chi tiết TS các bộ phận'!H129,'6. data thông tin nhân sự'!B:B,0))</f>
        <v>Chính thức</v>
      </c>
      <c r="L129" s="722"/>
      <c r="M129" s="228">
        <v>46204</v>
      </c>
      <c r="N129" s="228" t="str">
        <f>INDEX('6. data thông tin nhân sự'!N:N, MATCH('03. Chi tiết TS các bộ phận'!H129, '6. data thông tin nhân sự'!B:B,0))</f>
        <v>17/11/2025</v>
      </c>
      <c r="O129" s="161" t="s">
        <v>298</v>
      </c>
      <c r="P129" s="161"/>
      <c r="Q129" s="161"/>
      <c r="R129" s="229" t="s">
        <v>507</v>
      </c>
      <c r="S129" s="229" t="s">
        <v>508</v>
      </c>
      <c r="T129" s="229"/>
      <c r="U129" s="229" t="s">
        <v>509</v>
      </c>
      <c r="V129" s="229"/>
    </row>
    <row r="130" spans="1:22" s="155" customFormat="1" ht="59.25" hidden="1" customHeight="1">
      <c r="A130" s="161" t="s">
        <v>510</v>
      </c>
      <c r="B130" s="161" t="s">
        <v>80</v>
      </c>
      <c r="C130" s="161"/>
      <c r="D130" s="161"/>
      <c r="E130" s="161" t="s">
        <v>492</v>
      </c>
      <c r="F130" s="162" t="s">
        <v>296</v>
      </c>
      <c r="G130" s="162">
        <v>1</v>
      </c>
      <c r="H130" s="161">
        <v>25039</v>
      </c>
      <c r="I130" s="166" t="str">
        <f>INDEX('6. data thông tin nhân sự'!C:C,MATCH('03. Chi tiết TS các bộ phận'!H130,'6. data thông tin nhân sự'!B:B,0))</f>
        <v>Nguyễn Thị Thu Hoài</v>
      </c>
      <c r="J130" s="166" t="str">
        <f>INDEX('6. data thông tin nhân sự'!G:G,MATCH('03. Chi tiết TS các bộ phận'!H130,'6. data thông tin nhân sự'!B:B,0))</f>
        <v>Tài chính &amp; Kế toán  - Finance &amp; Accounting</v>
      </c>
      <c r="K130" s="166" t="str">
        <f>INDEX('6. data thông tin nhân sự'!D:D,MATCH('03. Chi tiết TS các bộ phận'!H130,'6. data thông tin nhân sự'!B:B,0))</f>
        <v>Chính thức</v>
      </c>
      <c r="L130" s="722"/>
      <c r="M130" s="228">
        <v>46204</v>
      </c>
      <c r="N130" s="228" t="str">
        <f>INDEX('6. data thông tin nhân sự'!N:N, MATCH('03. Chi tiết TS các bộ phận'!H130, '6. data thông tin nhân sự'!B:B,0))</f>
        <v>17/11/2025</v>
      </c>
      <c r="O130" s="161" t="s">
        <v>298</v>
      </c>
      <c r="P130" s="161"/>
      <c r="Q130" s="161"/>
      <c r="R130" s="229" t="s">
        <v>507</v>
      </c>
      <c r="S130" s="229" t="s">
        <v>508</v>
      </c>
      <c r="T130" s="229"/>
      <c r="U130" s="229" t="s">
        <v>509</v>
      </c>
      <c r="V130" s="229"/>
    </row>
    <row r="131" spans="1:22" s="155" customFormat="1" ht="59.25" customHeight="1">
      <c r="A131" s="166" t="s">
        <v>511</v>
      </c>
      <c r="B131" s="166" t="s">
        <v>79</v>
      </c>
      <c r="C131" s="166"/>
      <c r="D131" s="166"/>
      <c r="E131" s="161" t="s">
        <v>492</v>
      </c>
      <c r="F131" s="162" t="s">
        <v>296</v>
      </c>
      <c r="G131" s="162">
        <v>1</v>
      </c>
      <c r="H131" s="161">
        <v>25039</v>
      </c>
      <c r="I131" s="166" t="str">
        <f>INDEX('6. data thông tin nhân sự'!C:C,MATCH('03. Chi tiết TS các bộ phận'!H131,'6. data thông tin nhân sự'!B:B,0))</f>
        <v>Nguyễn Thị Thu Hoài</v>
      </c>
      <c r="J131" s="166" t="str">
        <f>INDEX('6. data thông tin nhân sự'!G:G,MATCH('03. Chi tiết TS các bộ phận'!H131,'6. data thông tin nhân sự'!B:B,0))</f>
        <v>Tài chính &amp; Kế toán  - Finance &amp; Accounting</v>
      </c>
      <c r="K131" s="166" t="str">
        <f>INDEX('6. data thông tin nhân sự'!D:D,MATCH('03. Chi tiết TS các bộ phận'!H131,'6. data thông tin nhân sự'!B:B,0))</f>
        <v>Chính thức</v>
      </c>
      <c r="L131" s="722"/>
      <c r="M131" s="228">
        <v>46204</v>
      </c>
      <c r="N131" s="228" t="str">
        <f>INDEX('6. data thông tin nhân sự'!N:N, MATCH('03. Chi tiết TS các bộ phận'!H131, '6. data thông tin nhân sự'!B:B,0))</f>
        <v>17/11/2025</v>
      </c>
      <c r="O131" s="161" t="s">
        <v>298</v>
      </c>
      <c r="P131" s="166"/>
      <c r="Q131" s="166"/>
      <c r="R131" s="229" t="s">
        <v>507</v>
      </c>
      <c r="S131" s="229" t="s">
        <v>508</v>
      </c>
      <c r="T131" s="229"/>
      <c r="U131" s="229" t="s">
        <v>509</v>
      </c>
      <c r="V131" s="229"/>
    </row>
    <row r="132" spans="1:22" s="155" customFormat="1" ht="59.25" hidden="1" customHeight="1">
      <c r="A132" s="166" t="s">
        <v>163</v>
      </c>
      <c r="B132" s="166" t="s">
        <v>81</v>
      </c>
      <c r="C132" s="166" t="s">
        <v>512</v>
      </c>
      <c r="D132" s="166" t="s">
        <v>374</v>
      </c>
      <c r="E132" s="161" t="s">
        <v>492</v>
      </c>
      <c r="F132" s="162" t="s">
        <v>346</v>
      </c>
      <c r="G132" s="162">
        <v>1</v>
      </c>
      <c r="H132" s="161">
        <v>25039</v>
      </c>
      <c r="I132" s="166" t="str">
        <f>INDEX('6. data thông tin nhân sự'!C:C,MATCH('03. Chi tiết TS các bộ phận'!H132,'6. data thông tin nhân sự'!B:B,0))</f>
        <v>Nguyễn Thị Thu Hoài</v>
      </c>
      <c r="J132" s="166" t="str">
        <f>INDEX('6. data thông tin nhân sự'!G:G,MATCH('03. Chi tiết TS các bộ phận'!H132,'6. data thông tin nhân sự'!B:B,0))</f>
        <v>Tài chính &amp; Kế toán  - Finance &amp; Accounting</v>
      </c>
      <c r="K132" s="166" t="str">
        <f>INDEX('6. data thông tin nhân sự'!D:D,MATCH('03. Chi tiết TS các bộ phận'!H132,'6. data thông tin nhân sự'!B:B,0))</f>
        <v>Chính thức</v>
      </c>
      <c r="L132" s="723"/>
      <c r="M132" s="228">
        <v>46204</v>
      </c>
      <c r="N132" s="228">
        <v>46050</v>
      </c>
      <c r="O132" s="161" t="s">
        <v>298</v>
      </c>
      <c r="P132" s="166"/>
      <c r="Q132" s="230" t="s">
        <v>513</v>
      </c>
      <c r="R132" s="229"/>
      <c r="S132" s="229"/>
      <c r="T132" s="229"/>
      <c r="U132" s="229"/>
      <c r="V132" s="229"/>
    </row>
    <row r="133" spans="1:22" s="155" customFormat="1" ht="95.25" hidden="1" customHeight="1">
      <c r="A133" s="163" t="s">
        <v>208</v>
      </c>
      <c r="B133" s="163" t="s">
        <v>77</v>
      </c>
      <c r="D133" s="252" t="s">
        <v>514</v>
      </c>
      <c r="E133" s="163" t="s">
        <v>492</v>
      </c>
      <c r="F133" s="139" t="s">
        <v>296</v>
      </c>
      <c r="G133" s="139">
        <v>1</v>
      </c>
      <c r="H133" s="163">
        <v>24007</v>
      </c>
      <c r="I133" s="140" t="str">
        <f>INDEX('6. data thông tin nhân sự'!C:C,MATCH('03. Chi tiết TS các bộ phận'!H133,'6. data thông tin nhân sự'!B:B,0))</f>
        <v>Lê Thương Huyền</v>
      </c>
      <c r="J133" s="140" t="str">
        <f>INDEX('6. data thông tin nhân sự'!G:G,MATCH('03. Chi tiết TS các bộ phận'!H133,'6. data thông tin nhân sự'!B:B,0))</f>
        <v>Tài chính &amp; Kế toán  - Finance &amp; Accounting</v>
      </c>
      <c r="K133" s="140" t="str">
        <f>INDEX('6. data thông tin nhân sự'!D:D,MATCH('03. Chi tiết TS các bộ phận'!H133,'6. data thông tin nhân sự'!B:B,0))</f>
        <v>Chính thức</v>
      </c>
      <c r="L133" s="727" t="s">
        <v>515</v>
      </c>
      <c r="M133" s="231">
        <v>46204</v>
      </c>
      <c r="N133" s="231">
        <v>46204</v>
      </c>
      <c r="O133" s="163" t="s">
        <v>298</v>
      </c>
      <c r="P133" s="163"/>
      <c r="Q133" s="163"/>
      <c r="R133" s="163"/>
      <c r="S133" s="163"/>
      <c r="T133" s="163"/>
      <c r="U133" s="163"/>
      <c r="V133" s="163"/>
    </row>
    <row r="134" spans="1:22" s="155" customFormat="1" ht="27.75" hidden="1" customHeight="1">
      <c r="A134" s="163" t="s">
        <v>516</v>
      </c>
      <c r="B134" s="163" t="s">
        <v>78</v>
      </c>
      <c r="C134" s="163" t="s">
        <v>299</v>
      </c>
      <c r="D134" s="163"/>
      <c r="E134" s="163" t="s">
        <v>492</v>
      </c>
      <c r="F134" s="139" t="s">
        <v>296</v>
      </c>
      <c r="G134" s="139">
        <v>1</v>
      </c>
      <c r="H134" s="163">
        <v>24007</v>
      </c>
      <c r="I134" s="140" t="str">
        <f>INDEX('6. data thông tin nhân sự'!C:C,MATCH('03. Chi tiết TS các bộ phận'!H134,'6. data thông tin nhân sự'!B:B,0))</f>
        <v>Lê Thương Huyền</v>
      </c>
      <c r="J134" s="140" t="str">
        <f>INDEX('6. data thông tin nhân sự'!G:G,MATCH('03. Chi tiết TS các bộ phận'!H134,'6. data thông tin nhân sự'!B:B,0))</f>
        <v>Tài chính &amp; Kế toán  - Finance &amp; Accounting</v>
      </c>
      <c r="K134" s="140" t="str">
        <f>INDEX('6. data thông tin nhân sự'!D:D,MATCH('03. Chi tiết TS các bộ phận'!H134,'6. data thông tin nhân sự'!B:B,0))</f>
        <v>Chính thức</v>
      </c>
      <c r="L134" s="727"/>
      <c r="M134" s="231">
        <v>46204</v>
      </c>
      <c r="N134" s="231" t="str">
        <f>INDEX('6. data thông tin nhân sự'!N:N, MATCH('03. Chi tiết TS các bộ phận'!H134, '6. data thông tin nhân sự'!B:B,0))</f>
        <v>15/08/2024</v>
      </c>
      <c r="O134" s="163" t="s">
        <v>298</v>
      </c>
      <c r="P134" s="163"/>
      <c r="Q134" s="163"/>
      <c r="R134" s="163"/>
      <c r="S134" s="163"/>
      <c r="T134" s="163"/>
      <c r="U134" s="163"/>
      <c r="V134" s="163"/>
    </row>
    <row r="135" spans="1:22" s="155" customFormat="1" ht="27.75" hidden="1" customHeight="1">
      <c r="A135" s="163" t="s">
        <v>517</v>
      </c>
      <c r="B135" s="163" t="s">
        <v>80</v>
      </c>
      <c r="C135" s="163"/>
      <c r="D135" s="163"/>
      <c r="E135" s="163" t="s">
        <v>492</v>
      </c>
      <c r="F135" s="139" t="s">
        <v>296</v>
      </c>
      <c r="G135" s="139">
        <v>1</v>
      </c>
      <c r="H135" s="163">
        <v>24007</v>
      </c>
      <c r="I135" s="140" t="str">
        <f>INDEX('6. data thông tin nhân sự'!C:C,MATCH('03. Chi tiết TS các bộ phận'!H135,'6. data thông tin nhân sự'!B:B,0))</f>
        <v>Lê Thương Huyền</v>
      </c>
      <c r="J135" s="140" t="str">
        <f>INDEX('6. data thông tin nhân sự'!G:G,MATCH('03. Chi tiết TS các bộ phận'!H135,'6. data thông tin nhân sự'!B:B,0))</f>
        <v>Tài chính &amp; Kế toán  - Finance &amp; Accounting</v>
      </c>
      <c r="K135" s="140" t="str">
        <f>INDEX('6. data thông tin nhân sự'!D:D,MATCH('03. Chi tiết TS các bộ phận'!H135,'6. data thông tin nhân sự'!B:B,0))</f>
        <v>Chính thức</v>
      </c>
      <c r="L135" s="727"/>
      <c r="M135" s="231">
        <v>46204</v>
      </c>
      <c r="N135" s="231" t="str">
        <f>INDEX('6. data thông tin nhân sự'!N:N, MATCH('03. Chi tiết TS các bộ phận'!H135, '6. data thông tin nhân sự'!B:B,0))</f>
        <v>15/08/2024</v>
      </c>
      <c r="O135" s="163" t="s">
        <v>298</v>
      </c>
      <c r="P135" s="163"/>
      <c r="Q135" s="163"/>
      <c r="R135" s="163"/>
      <c r="S135" s="163"/>
      <c r="T135" s="163"/>
      <c r="U135" s="163"/>
      <c r="V135" s="163"/>
    </row>
    <row r="136" spans="1:22" s="155" customFormat="1" ht="27.75" customHeight="1">
      <c r="A136" s="140" t="s">
        <v>518</v>
      </c>
      <c r="B136" s="140" t="s">
        <v>79</v>
      </c>
      <c r="C136" s="140"/>
      <c r="D136" s="140"/>
      <c r="E136" s="163" t="s">
        <v>492</v>
      </c>
      <c r="F136" s="139" t="s">
        <v>296</v>
      </c>
      <c r="G136" s="139">
        <v>1</v>
      </c>
      <c r="H136" s="163">
        <v>24007</v>
      </c>
      <c r="I136" s="140" t="str">
        <f>INDEX('6. data thông tin nhân sự'!C:C,MATCH('03. Chi tiết TS các bộ phận'!H136,'6. data thông tin nhân sự'!B:B,0))</f>
        <v>Lê Thương Huyền</v>
      </c>
      <c r="J136" s="140" t="str">
        <f>INDEX('6. data thông tin nhân sự'!G:G,MATCH('03. Chi tiết TS các bộ phận'!H136,'6. data thông tin nhân sự'!B:B,0))</f>
        <v>Tài chính &amp; Kế toán  - Finance &amp; Accounting</v>
      </c>
      <c r="K136" s="140" t="str">
        <f>INDEX('6. data thông tin nhân sự'!D:D,MATCH('03. Chi tiết TS các bộ phận'!H136,'6. data thông tin nhân sự'!B:B,0))</f>
        <v>Chính thức</v>
      </c>
      <c r="L136" s="727"/>
      <c r="M136" s="231">
        <v>46204</v>
      </c>
      <c r="N136" s="231" t="str">
        <f>INDEX('6. data thông tin nhân sự'!N:N, MATCH('03. Chi tiết TS các bộ phận'!H136, '6. data thông tin nhân sự'!B:B,0))</f>
        <v>15/08/2024</v>
      </c>
      <c r="O136" s="163" t="s">
        <v>298</v>
      </c>
      <c r="P136" s="140"/>
      <c r="Q136" s="140"/>
      <c r="R136" s="140"/>
      <c r="S136" s="140"/>
      <c r="T136" s="140"/>
      <c r="U136" s="140"/>
      <c r="V136" s="140"/>
    </row>
    <row r="137" spans="1:22" s="155" customFormat="1" ht="85.5" hidden="1" customHeight="1">
      <c r="A137" s="161" t="s">
        <v>519</v>
      </c>
      <c r="B137" s="161" t="s">
        <v>77</v>
      </c>
      <c r="C137" s="161"/>
      <c r="D137" s="236" t="s">
        <v>520</v>
      </c>
      <c r="E137" s="161" t="s">
        <v>492</v>
      </c>
      <c r="F137" s="162" t="s">
        <v>296</v>
      </c>
      <c r="G137" s="162">
        <v>1</v>
      </c>
      <c r="H137" s="161">
        <v>25017</v>
      </c>
      <c r="I137" s="166" t="str">
        <f>INDEX('6. data thông tin nhân sự'!C:C,MATCH('03. Chi tiết TS các bộ phận'!H137,'6. data thông tin nhân sự'!B:B,0))</f>
        <v>Nguyễn Thu Hà</v>
      </c>
      <c r="J137" s="166" t="str">
        <f>INDEX('6. data thông tin nhân sự'!G:G,MATCH('03. Chi tiết TS các bộ phận'!H137,'6. data thông tin nhân sự'!B:B,0))</f>
        <v>Tài chính &amp; Kế toán  - Finance &amp; Accounting</v>
      </c>
      <c r="K137" s="166" t="str">
        <f>INDEX('6. data thông tin nhân sự'!D:D,MATCH('03. Chi tiết TS các bộ phận'!H137,'6. data thông tin nhân sự'!B:B,0))</f>
        <v>Chính thức</v>
      </c>
      <c r="L137" s="726" t="s">
        <v>521</v>
      </c>
      <c r="M137" s="228">
        <v>46204</v>
      </c>
      <c r="N137" s="228">
        <v>46204</v>
      </c>
      <c r="O137" s="161" t="s">
        <v>298</v>
      </c>
      <c r="P137" s="161"/>
      <c r="Q137" s="161"/>
      <c r="R137" s="161"/>
      <c r="S137" s="161"/>
      <c r="T137" s="161"/>
      <c r="U137" s="161"/>
      <c r="V137" s="161"/>
    </row>
    <row r="138" spans="1:22" s="155" customFormat="1" ht="27.75" hidden="1" customHeight="1">
      <c r="A138" s="161" t="s">
        <v>522</v>
      </c>
      <c r="B138" s="161" t="s">
        <v>78</v>
      </c>
      <c r="C138" s="161" t="s">
        <v>299</v>
      </c>
      <c r="D138" s="161"/>
      <c r="E138" s="161" t="s">
        <v>492</v>
      </c>
      <c r="F138" s="162" t="s">
        <v>296</v>
      </c>
      <c r="G138" s="162">
        <v>1</v>
      </c>
      <c r="H138" s="161">
        <v>25017</v>
      </c>
      <c r="I138" s="166" t="str">
        <f>INDEX('6. data thông tin nhân sự'!C:C,MATCH('03. Chi tiết TS các bộ phận'!H138,'6. data thông tin nhân sự'!B:B,0))</f>
        <v>Nguyễn Thu Hà</v>
      </c>
      <c r="J138" s="166" t="str">
        <f>INDEX('6. data thông tin nhân sự'!G:G,MATCH('03. Chi tiết TS các bộ phận'!H138,'6. data thông tin nhân sự'!B:B,0))</f>
        <v>Tài chính &amp; Kế toán  - Finance &amp; Accounting</v>
      </c>
      <c r="K138" s="166" t="str">
        <f>INDEX('6. data thông tin nhân sự'!D:D,MATCH('03. Chi tiết TS các bộ phận'!H138,'6. data thông tin nhân sự'!B:B,0))</f>
        <v>Chính thức</v>
      </c>
      <c r="L138" s="726"/>
      <c r="M138" s="228">
        <v>46204</v>
      </c>
      <c r="N138" s="228" t="str">
        <f>INDEX('6. data thông tin nhân sự'!N:N, MATCH('03. Chi tiết TS các bộ phận'!H138, '6. data thông tin nhân sự'!B:B,0))</f>
        <v>26/06/2025</v>
      </c>
      <c r="O138" s="161" t="s">
        <v>298</v>
      </c>
      <c r="P138" s="161"/>
      <c r="Q138" s="161"/>
      <c r="R138" s="161"/>
      <c r="S138" s="161"/>
      <c r="T138" s="161"/>
      <c r="U138" s="161"/>
      <c r="V138" s="161"/>
    </row>
    <row r="139" spans="1:22" s="155" customFormat="1" ht="27.75" hidden="1" customHeight="1">
      <c r="A139" s="161" t="s">
        <v>523</v>
      </c>
      <c r="B139" s="161" t="s">
        <v>80</v>
      </c>
      <c r="C139" s="161"/>
      <c r="D139" s="161"/>
      <c r="E139" s="161" t="s">
        <v>492</v>
      </c>
      <c r="F139" s="162" t="s">
        <v>296</v>
      </c>
      <c r="G139" s="162">
        <v>1</v>
      </c>
      <c r="H139" s="161">
        <v>25017</v>
      </c>
      <c r="I139" s="166" t="str">
        <f>INDEX('6. data thông tin nhân sự'!C:C,MATCH('03. Chi tiết TS các bộ phận'!H139,'6. data thông tin nhân sự'!B:B,0))</f>
        <v>Nguyễn Thu Hà</v>
      </c>
      <c r="J139" s="166" t="str">
        <f>INDEX('6. data thông tin nhân sự'!G:G,MATCH('03. Chi tiết TS các bộ phận'!H139,'6. data thông tin nhân sự'!B:B,0))</f>
        <v>Tài chính &amp; Kế toán  - Finance &amp; Accounting</v>
      </c>
      <c r="K139" s="166" t="str">
        <f>INDEX('6. data thông tin nhân sự'!D:D,MATCH('03. Chi tiết TS các bộ phận'!H139,'6. data thông tin nhân sự'!B:B,0))</f>
        <v>Chính thức</v>
      </c>
      <c r="L139" s="726"/>
      <c r="M139" s="228">
        <v>46204</v>
      </c>
      <c r="N139" s="228" t="str">
        <f>INDEX('6. data thông tin nhân sự'!N:N, MATCH('03. Chi tiết TS các bộ phận'!H139, '6. data thông tin nhân sự'!B:B,0))</f>
        <v>26/06/2025</v>
      </c>
      <c r="O139" s="161" t="s">
        <v>298</v>
      </c>
      <c r="P139" s="161"/>
      <c r="Q139" s="161"/>
      <c r="R139" s="161"/>
      <c r="S139" s="161"/>
      <c r="T139" s="161"/>
      <c r="U139" s="161"/>
      <c r="V139" s="161"/>
    </row>
    <row r="140" spans="1:22" s="155" customFormat="1" ht="27.75" customHeight="1">
      <c r="A140" s="166" t="s">
        <v>524</v>
      </c>
      <c r="B140" s="166" t="s">
        <v>79</v>
      </c>
      <c r="C140" s="166"/>
      <c r="D140" s="166"/>
      <c r="E140" s="161" t="s">
        <v>492</v>
      </c>
      <c r="F140" s="162" t="s">
        <v>296</v>
      </c>
      <c r="G140" s="162">
        <v>1</v>
      </c>
      <c r="H140" s="161">
        <v>25017</v>
      </c>
      <c r="I140" s="166" t="str">
        <f>INDEX('6. data thông tin nhân sự'!C:C,MATCH('03. Chi tiết TS các bộ phận'!H140,'6. data thông tin nhân sự'!B:B,0))</f>
        <v>Nguyễn Thu Hà</v>
      </c>
      <c r="J140" s="166" t="str">
        <f>INDEX('6. data thông tin nhân sự'!G:G,MATCH('03. Chi tiết TS các bộ phận'!H140,'6. data thông tin nhân sự'!B:B,0))</f>
        <v>Tài chính &amp; Kế toán  - Finance &amp; Accounting</v>
      </c>
      <c r="K140" s="166" t="str">
        <f>INDEX('6. data thông tin nhân sự'!D:D,MATCH('03. Chi tiết TS các bộ phận'!H140,'6. data thông tin nhân sự'!B:B,0))</f>
        <v>Chính thức</v>
      </c>
      <c r="L140" s="726"/>
      <c r="M140" s="228">
        <v>46204</v>
      </c>
      <c r="N140" s="228" t="str">
        <f>INDEX('6. data thông tin nhân sự'!N:N, MATCH('03. Chi tiết TS các bộ phận'!H140, '6. data thông tin nhân sự'!B:B,0))</f>
        <v>26/06/2025</v>
      </c>
      <c r="O140" s="161" t="s">
        <v>298</v>
      </c>
      <c r="P140" s="166"/>
      <c r="Q140" s="166"/>
      <c r="R140" s="166"/>
      <c r="S140" s="166"/>
      <c r="T140" s="166"/>
      <c r="U140" s="166"/>
      <c r="V140" s="166"/>
    </row>
    <row r="141" spans="1:22" s="192" customFormat="1" ht="63.75" hidden="1" customHeight="1">
      <c r="A141" s="163" t="s">
        <v>525</v>
      </c>
      <c r="B141" s="163" t="s">
        <v>78</v>
      </c>
      <c r="C141" s="163"/>
      <c r="D141" s="163"/>
      <c r="E141" s="163" t="s">
        <v>526</v>
      </c>
      <c r="F141" s="139" t="s">
        <v>296</v>
      </c>
      <c r="G141" s="139">
        <v>1</v>
      </c>
      <c r="H141" s="163">
        <v>25041</v>
      </c>
      <c r="I141" s="140" t="str">
        <f>INDEX('6. data thông tin nhân sự'!C:C,MATCH('03. Chi tiết TS các bộ phận'!H141,'6. data thông tin nhân sự'!B:B,0))</f>
        <v>Bùi Hữu Đức</v>
      </c>
      <c r="J141" s="140" t="str">
        <f>INDEX('6. data thông tin nhân sự'!G:G,MATCH('03. Chi tiết TS các bộ phận'!H141,'6. data thông tin nhân sự'!B:B,0))</f>
        <v>Tài chính &amp; Kế toán  - Finance &amp; Accounting</v>
      </c>
      <c r="K141" s="140" t="str">
        <f>INDEX('6. data thông tin nhân sự'!D:D,MATCH('03. Chi tiết TS các bộ phận'!H141,'6. data thông tin nhân sự'!B:B,0))</f>
        <v>Chính thức</v>
      </c>
      <c r="L141" s="163"/>
      <c r="M141" s="231"/>
      <c r="N141" s="231">
        <v>46245</v>
      </c>
      <c r="O141" s="161" t="s">
        <v>298</v>
      </c>
      <c r="P141" s="163"/>
      <c r="Q141" s="163"/>
      <c r="R141" s="164" t="s">
        <v>527</v>
      </c>
      <c r="S141" s="163"/>
      <c r="T141" s="163"/>
      <c r="U141" s="163"/>
      <c r="V141" s="163"/>
    </row>
    <row r="142" spans="1:22" s="155" customFormat="1" ht="27.75" hidden="1" customHeight="1">
      <c r="A142" s="163" t="s">
        <v>528</v>
      </c>
      <c r="B142" s="163" t="s">
        <v>80</v>
      </c>
      <c r="C142" s="163"/>
      <c r="D142" s="518"/>
      <c r="E142" s="163" t="s">
        <v>492</v>
      </c>
      <c r="F142" s="139" t="s">
        <v>296</v>
      </c>
      <c r="G142" s="139">
        <v>1</v>
      </c>
      <c r="H142" s="163">
        <v>25041</v>
      </c>
      <c r="I142" s="140" t="str">
        <f>INDEX('6. data thông tin nhân sự'!C:C,MATCH('03. Chi tiết TS các bộ phận'!H142,'6. data thông tin nhân sự'!B:B,0))</f>
        <v>Bùi Hữu Đức</v>
      </c>
      <c r="J142" s="140" t="str">
        <f>INDEX('6. data thông tin nhân sự'!G:G,MATCH('03. Chi tiết TS các bộ phận'!H142,'6. data thông tin nhân sự'!B:B,0))</f>
        <v>Tài chính &amp; Kế toán  - Finance &amp; Accounting</v>
      </c>
      <c r="K142" s="140" t="str">
        <f>INDEX('6. data thông tin nhân sự'!D:D,MATCH('03. Chi tiết TS các bộ phận'!H142,'6. data thông tin nhân sự'!B:B,0))</f>
        <v>Chính thức</v>
      </c>
      <c r="L142" s="139"/>
      <c r="M142" s="231">
        <v>46202</v>
      </c>
      <c r="N142" s="231" t="str">
        <f>INDEX('6. data thông tin nhân sự'!N:N, MATCH('03. Chi tiết TS các bộ phận'!H142, '6. data thông tin nhân sự'!B:B,0))</f>
        <v>24/11/2025</v>
      </c>
      <c r="O142" s="163" t="s">
        <v>298</v>
      </c>
      <c r="P142" s="163"/>
      <c r="Q142" s="163"/>
      <c r="R142" s="163"/>
      <c r="S142" s="163"/>
      <c r="T142" s="163"/>
      <c r="U142" s="163"/>
      <c r="V142" s="163"/>
    </row>
    <row r="143" spans="1:22" s="155" customFormat="1" ht="87.75" hidden="1" customHeight="1">
      <c r="A143" s="163" t="s">
        <v>215</v>
      </c>
      <c r="B143" s="163" t="s">
        <v>77</v>
      </c>
      <c r="C143" s="523"/>
      <c r="D143" s="527" t="s">
        <v>529</v>
      </c>
      <c r="E143" s="525" t="s">
        <v>492</v>
      </c>
      <c r="F143" s="139" t="s">
        <v>296</v>
      </c>
      <c r="G143" s="139">
        <v>1</v>
      </c>
      <c r="H143" s="163">
        <v>25041</v>
      </c>
      <c r="I143" s="140" t="str">
        <f>INDEX('6. data thông tin nhân sự'!C:C,MATCH('03. Chi tiết TS các bộ phận'!H143,'6. data thông tin nhân sự'!B:B,0))</f>
        <v>Bùi Hữu Đức</v>
      </c>
      <c r="J143" s="140" t="str">
        <f>INDEX('6. data thông tin nhân sự'!G:G,MATCH('03. Chi tiết TS các bộ phận'!H143,'6. data thông tin nhân sự'!B:B,0))</f>
        <v>Tài chính &amp; Kế toán  - Finance &amp; Accounting</v>
      </c>
      <c r="K143" s="140" t="str">
        <f>INDEX('6. data thông tin nhân sự'!D:D,MATCH('03. Chi tiết TS các bộ phận'!H143,'6. data thông tin nhân sự'!B:B,0))</f>
        <v>Chính thức</v>
      </c>
      <c r="L143" s="139"/>
      <c r="M143" s="231">
        <v>46202</v>
      </c>
      <c r="N143" s="231">
        <v>46204</v>
      </c>
      <c r="O143" s="163" t="s">
        <v>298</v>
      </c>
      <c r="P143" s="163"/>
      <c r="Q143" s="163"/>
      <c r="R143" s="163"/>
      <c r="S143" s="163"/>
      <c r="T143" s="163"/>
      <c r="U143" s="163"/>
      <c r="V143" s="163"/>
    </row>
    <row r="144" spans="1:22" s="155" customFormat="1" ht="27.75" customHeight="1">
      <c r="A144" s="140" t="s">
        <v>530</v>
      </c>
      <c r="B144" s="140" t="s">
        <v>79</v>
      </c>
      <c r="C144" s="524"/>
      <c r="D144" s="528"/>
      <c r="E144" s="525" t="s">
        <v>492</v>
      </c>
      <c r="F144" s="139" t="s">
        <v>296</v>
      </c>
      <c r="G144" s="139">
        <v>1</v>
      </c>
      <c r="H144" s="163">
        <v>25041</v>
      </c>
      <c r="I144" s="140" t="str">
        <f>INDEX('6. data thông tin nhân sự'!C:C,MATCH('03. Chi tiết TS các bộ phận'!H144,'6. data thông tin nhân sự'!B:B,0))</f>
        <v>Bùi Hữu Đức</v>
      </c>
      <c r="J144" s="140" t="str">
        <f>INDEX('6. data thông tin nhân sự'!G:G,MATCH('03. Chi tiết TS các bộ phận'!H144,'6. data thông tin nhân sự'!B:B,0))</f>
        <v>Tài chính &amp; Kế toán  - Finance &amp; Accounting</v>
      </c>
      <c r="K144" s="140" t="str">
        <f>INDEX('6. data thông tin nhân sự'!D:D,MATCH('03. Chi tiết TS các bộ phận'!H144,'6. data thông tin nhân sự'!B:B,0))</f>
        <v>Chính thức</v>
      </c>
      <c r="L144" s="139"/>
      <c r="M144" s="231">
        <v>46202</v>
      </c>
      <c r="N144" s="231" t="str">
        <f>INDEX('6. data thông tin nhân sự'!N:N, MATCH('03. Chi tiết TS các bộ phận'!H144, '6. data thông tin nhân sự'!B:B,0))</f>
        <v>24/11/2025</v>
      </c>
      <c r="O144" s="163" t="s">
        <v>298</v>
      </c>
      <c r="P144" s="140"/>
      <c r="Q144" s="140"/>
      <c r="R144" s="140"/>
      <c r="S144" s="140"/>
      <c r="T144" s="140"/>
      <c r="U144" s="140"/>
      <c r="V144" s="140"/>
    </row>
    <row r="145" spans="1:23" s="155" customFormat="1" ht="27.75" hidden="1" customHeight="1">
      <c r="A145" s="157" t="s">
        <v>531</v>
      </c>
      <c r="B145" s="158"/>
      <c r="C145" s="158"/>
      <c r="D145" s="526"/>
      <c r="E145" s="158"/>
      <c r="F145" s="158"/>
      <c r="G145" s="158"/>
      <c r="H145" s="158"/>
      <c r="I145" s="158"/>
      <c r="J145" s="158"/>
      <c r="K145" s="158"/>
      <c r="L145" s="158"/>
      <c r="M145" s="159"/>
      <c r="N145" s="159"/>
      <c r="O145" s="158"/>
      <c r="P145" s="158"/>
      <c r="Q145" s="158"/>
      <c r="R145" s="189"/>
      <c r="S145" s="189"/>
      <c r="T145" s="189"/>
      <c r="U145" s="189"/>
      <c r="V145" s="189"/>
    </row>
    <row r="146" spans="1:23" s="431" customFormat="1" ht="48.75" hidden="1">
      <c r="A146" s="163" t="s">
        <v>532</v>
      </c>
      <c r="B146" s="163" t="s">
        <v>78</v>
      </c>
      <c r="C146" s="163" t="s">
        <v>533</v>
      </c>
      <c r="D146" s="163"/>
      <c r="E146" s="163" t="s">
        <v>534</v>
      </c>
      <c r="F146" s="139" t="s">
        <v>296</v>
      </c>
      <c r="G146" s="139">
        <v>1</v>
      </c>
      <c r="H146" s="163">
        <v>25015</v>
      </c>
      <c r="I146" s="140" t="str">
        <f>INDEX('6. data thông tin nhân sự'!C:C,MATCH('03. Chi tiết TS các bộ phận'!H146,'6. data thông tin nhân sự'!B:B,0))</f>
        <v>Bạch Thị Lệ Hằng</v>
      </c>
      <c r="J146" s="140" t="str">
        <f>INDEX('6. data thông tin nhân sự'!G:G,MATCH('03. Chi tiết TS các bộ phận'!H146,'6. data thông tin nhân sự'!B:B,0))</f>
        <v>Hành chính nhân sự - HR &amp; Admin</v>
      </c>
      <c r="K146" s="140" t="str">
        <f>INDEX('6. data thông tin nhân sự'!D:D,MATCH('03. Chi tiết TS các bộ phận'!H146,'6. data thông tin nhân sự'!B:B,0))</f>
        <v>Chính thức</v>
      </c>
      <c r="L146" s="139" t="s">
        <v>535</v>
      </c>
      <c r="M146" s="231">
        <v>46219</v>
      </c>
      <c r="N146" s="231">
        <v>46219</v>
      </c>
      <c r="O146" s="163" t="s">
        <v>298</v>
      </c>
      <c r="P146" s="163"/>
      <c r="Q146" s="163"/>
      <c r="R146" s="164" t="s">
        <v>536</v>
      </c>
      <c r="S146" s="164" t="s">
        <v>537</v>
      </c>
      <c r="T146" s="163"/>
      <c r="U146" s="163"/>
      <c r="V146" s="163"/>
      <c r="W146" s="192"/>
    </row>
    <row r="147" spans="1:23" s="155" customFormat="1" ht="90" hidden="1" customHeight="1">
      <c r="A147" s="161" t="s">
        <v>219</v>
      </c>
      <c r="B147" s="161" t="s">
        <v>77</v>
      </c>
      <c r="C147" s="161"/>
      <c r="D147" s="236" t="s">
        <v>529</v>
      </c>
      <c r="E147" s="161" t="s">
        <v>534</v>
      </c>
      <c r="F147" s="162" t="s">
        <v>296</v>
      </c>
      <c r="G147" s="162">
        <v>1</v>
      </c>
      <c r="H147" s="161">
        <v>25021</v>
      </c>
      <c r="I147" s="166" t="str">
        <f>INDEX('6. data thông tin nhân sự'!C:C,MATCH('03. Chi tiết TS các bộ phận'!H147,'6. data thông tin nhân sự'!B:B,0))</f>
        <v>Ngô Thị Hồng Hải</v>
      </c>
      <c r="J147" s="166" t="str">
        <f>INDEX('6. data thông tin nhân sự'!G:G,MATCH('03. Chi tiết TS các bộ phận'!H147,'6. data thông tin nhân sự'!B:B,0))</f>
        <v>Hành chính nhân sự - HR &amp; Admin</v>
      </c>
      <c r="K147" s="166" t="str">
        <f>INDEX('6. data thông tin nhân sự'!D:D,MATCH('03. Chi tiết TS các bộ phận'!H147,'6. data thông tin nhân sự'!B:B,0))</f>
        <v>Chính thức</v>
      </c>
      <c r="L147" s="721" t="s">
        <v>538</v>
      </c>
      <c r="M147" s="228">
        <v>46204</v>
      </c>
      <c r="N147" s="228">
        <v>46204</v>
      </c>
      <c r="O147" s="161" t="s">
        <v>298</v>
      </c>
      <c r="P147" s="161"/>
      <c r="Q147" s="161"/>
      <c r="R147" s="161"/>
      <c r="S147" s="161"/>
      <c r="T147" s="161"/>
      <c r="U147" s="161"/>
      <c r="V147" s="161"/>
    </row>
    <row r="148" spans="1:23" s="155" customFormat="1" ht="27.75" hidden="1" customHeight="1">
      <c r="A148" s="161" t="s">
        <v>539</v>
      </c>
      <c r="B148" s="161" t="s">
        <v>78</v>
      </c>
      <c r="C148" s="161" t="s">
        <v>299</v>
      </c>
      <c r="D148" s="161"/>
      <c r="E148" s="161" t="s">
        <v>534</v>
      </c>
      <c r="F148" s="162" t="s">
        <v>296</v>
      </c>
      <c r="G148" s="162">
        <v>1</v>
      </c>
      <c r="H148" s="161">
        <v>25021</v>
      </c>
      <c r="I148" s="166" t="str">
        <f>INDEX('6. data thông tin nhân sự'!C:C,MATCH('03. Chi tiết TS các bộ phận'!H148,'6. data thông tin nhân sự'!B:B,0))</f>
        <v>Ngô Thị Hồng Hải</v>
      </c>
      <c r="J148" s="166" t="str">
        <f>INDEX('6. data thông tin nhân sự'!G:G,MATCH('03. Chi tiết TS các bộ phận'!H148,'6. data thông tin nhân sự'!B:B,0))</f>
        <v>Hành chính nhân sự - HR &amp; Admin</v>
      </c>
      <c r="K148" s="166" t="str">
        <f>INDEX('6. data thông tin nhân sự'!D:D,MATCH('03. Chi tiết TS các bộ phận'!H148,'6. data thông tin nhân sự'!B:B,0))</f>
        <v>Chính thức</v>
      </c>
      <c r="L148" s="722"/>
      <c r="M148" s="228">
        <v>46204</v>
      </c>
      <c r="N148" s="228" t="str">
        <f>INDEX('6. data thông tin nhân sự'!N:N, MATCH('03. Chi tiết TS các bộ phận'!H148, '6. data thông tin nhân sự'!B:B,0))</f>
        <v>15/07/2025</v>
      </c>
      <c r="O148" s="161" t="s">
        <v>298</v>
      </c>
      <c r="P148" s="161"/>
      <c r="Q148" s="161"/>
      <c r="R148" s="161"/>
      <c r="S148" s="161"/>
      <c r="T148" s="161"/>
      <c r="U148" s="161"/>
      <c r="V148" s="161"/>
    </row>
    <row r="149" spans="1:23" s="155" customFormat="1" ht="27.75" hidden="1" customHeight="1">
      <c r="A149" s="161" t="s">
        <v>540</v>
      </c>
      <c r="B149" s="161" t="s">
        <v>80</v>
      </c>
      <c r="C149" s="161"/>
      <c r="D149" s="161"/>
      <c r="E149" s="161" t="s">
        <v>534</v>
      </c>
      <c r="F149" s="162" t="s">
        <v>296</v>
      </c>
      <c r="G149" s="162">
        <v>1</v>
      </c>
      <c r="H149" s="161">
        <v>25021</v>
      </c>
      <c r="I149" s="166" t="str">
        <f>INDEX('6. data thông tin nhân sự'!C:C,MATCH('03. Chi tiết TS các bộ phận'!H149,'6. data thông tin nhân sự'!B:B,0))</f>
        <v>Ngô Thị Hồng Hải</v>
      </c>
      <c r="J149" s="166" t="str">
        <f>INDEX('6. data thông tin nhân sự'!G:G,MATCH('03. Chi tiết TS các bộ phận'!H149,'6. data thông tin nhân sự'!B:B,0))</f>
        <v>Hành chính nhân sự - HR &amp; Admin</v>
      </c>
      <c r="K149" s="166" t="str">
        <f>INDEX('6. data thông tin nhân sự'!D:D,MATCH('03. Chi tiết TS các bộ phận'!H149,'6. data thông tin nhân sự'!B:B,0))</f>
        <v>Chính thức</v>
      </c>
      <c r="L149" s="722"/>
      <c r="M149" s="228">
        <v>46204</v>
      </c>
      <c r="N149" s="228" t="str">
        <f>INDEX('6. data thông tin nhân sự'!N:N, MATCH('03. Chi tiết TS các bộ phận'!H149, '6. data thông tin nhân sự'!B:B,0))</f>
        <v>15/07/2025</v>
      </c>
      <c r="O149" s="161" t="s">
        <v>298</v>
      </c>
      <c r="P149" s="161"/>
      <c r="Q149" s="161"/>
      <c r="R149" s="161"/>
      <c r="S149" s="161"/>
      <c r="T149" s="161"/>
      <c r="U149" s="161"/>
      <c r="V149" s="161"/>
    </row>
    <row r="150" spans="1:23" s="155" customFormat="1" ht="27.75" customHeight="1">
      <c r="A150" s="161" t="s">
        <v>220</v>
      </c>
      <c r="B150" s="161" t="s">
        <v>79</v>
      </c>
      <c r="C150" s="161"/>
      <c r="D150" s="161"/>
      <c r="E150" s="161" t="s">
        <v>534</v>
      </c>
      <c r="F150" s="162" t="s">
        <v>296</v>
      </c>
      <c r="G150" s="162">
        <v>1</v>
      </c>
      <c r="H150" s="161">
        <v>25021</v>
      </c>
      <c r="I150" s="166" t="str">
        <f>INDEX('6. data thông tin nhân sự'!C:C,MATCH('03. Chi tiết TS các bộ phận'!H150,'6. data thông tin nhân sự'!B:B,0))</f>
        <v>Ngô Thị Hồng Hải</v>
      </c>
      <c r="J150" s="166" t="str">
        <f>INDEX('6. data thông tin nhân sự'!G:G,MATCH('03. Chi tiết TS các bộ phận'!H150,'6. data thông tin nhân sự'!B:B,0))</f>
        <v>Hành chính nhân sự - HR &amp; Admin</v>
      </c>
      <c r="K150" s="166" t="str">
        <f>INDEX('6. data thông tin nhân sự'!D:D,MATCH('03. Chi tiết TS các bộ phận'!H150,'6. data thông tin nhân sự'!B:B,0))</f>
        <v>Chính thức</v>
      </c>
      <c r="L150" s="723"/>
      <c r="M150" s="228">
        <v>46204</v>
      </c>
      <c r="N150" s="228" t="str">
        <f>INDEX('6. data thông tin nhân sự'!N:N, MATCH('03. Chi tiết TS các bộ phận'!H150, '6. data thông tin nhân sự'!B:B,0))</f>
        <v>15/07/2025</v>
      </c>
      <c r="O150" s="161" t="s">
        <v>298</v>
      </c>
      <c r="P150" s="161"/>
      <c r="Q150" s="161"/>
      <c r="R150" s="161"/>
      <c r="S150" s="161"/>
      <c r="T150" s="161"/>
      <c r="U150" s="161"/>
      <c r="V150" s="161"/>
    </row>
    <row r="151" spans="1:23" s="192" customFormat="1" ht="87.75" hidden="1" customHeight="1">
      <c r="A151" s="163" t="s">
        <v>541</v>
      </c>
      <c r="B151" s="163" t="s">
        <v>77</v>
      </c>
      <c r="C151" s="163"/>
      <c r="D151" s="252" t="s">
        <v>542</v>
      </c>
      <c r="E151" s="163" t="s">
        <v>534</v>
      </c>
      <c r="F151" s="139" t="s">
        <v>296</v>
      </c>
      <c r="G151" s="139">
        <v>1</v>
      </c>
      <c r="H151" s="163">
        <v>26031</v>
      </c>
      <c r="I151" s="140" t="str">
        <f>INDEX('6. data thông tin nhân sự'!C:C,MATCH('03. Chi tiết TS các bộ phận'!H151,'6. data thông tin nhân sự'!B:B,0))</f>
        <v>Lê Văn Thịnh</v>
      </c>
      <c r="J151" s="140" t="str">
        <f>INDEX('6. data thông tin nhân sự'!G:G,MATCH('03. Chi tiết TS các bộ phận'!H151,'6. data thông tin nhân sự'!B:B,0))</f>
        <v>Hành chính nhân sự - HR &amp; Admin</v>
      </c>
      <c r="K151" s="140" t="str">
        <f>INDEX('6. data thông tin nhân sự'!D:D,MATCH('03. Chi tiết TS các bộ phận'!H151,'6. data thông tin nhân sự'!B:B,0))</f>
        <v>Thử việc</v>
      </c>
      <c r="L151" s="139" t="s">
        <v>543</v>
      </c>
      <c r="M151" s="231">
        <v>46268</v>
      </c>
      <c r="N151" s="231" t="str">
        <f>INDEX('6. data thông tin nhân sự'!N:N, MATCH('03. Chi tiết TS các bộ phận'!H151, '6. data thông tin nhân sự'!B:B,0))</f>
        <v>03/09/2026</v>
      </c>
      <c r="O151" s="163" t="s">
        <v>298</v>
      </c>
      <c r="P151" s="163"/>
      <c r="Q151" s="163"/>
      <c r="R151" s="164" t="s">
        <v>544</v>
      </c>
      <c r="S151" s="164" t="s">
        <v>545</v>
      </c>
      <c r="T151" s="164" t="s">
        <v>546</v>
      </c>
      <c r="U151" s="163"/>
      <c r="V151" s="163"/>
    </row>
    <row r="152" spans="1:23" s="192" customFormat="1" ht="54.75" hidden="1" customHeight="1">
      <c r="A152" s="163" t="s">
        <v>547</v>
      </c>
      <c r="B152" s="163" t="s">
        <v>78</v>
      </c>
      <c r="C152" s="163" t="s">
        <v>299</v>
      </c>
      <c r="D152" s="163"/>
      <c r="E152" s="163" t="s">
        <v>534</v>
      </c>
      <c r="F152" s="139" t="s">
        <v>296</v>
      </c>
      <c r="G152" s="139">
        <v>1</v>
      </c>
      <c r="H152" s="163">
        <v>26031</v>
      </c>
      <c r="I152" s="140" t="str">
        <f>INDEX('6. data thông tin nhân sự'!C:C,MATCH('03. Chi tiết TS các bộ phận'!H152,'6. data thông tin nhân sự'!B:B,0))</f>
        <v>Lê Văn Thịnh</v>
      </c>
      <c r="J152" s="140" t="str">
        <f>INDEX('6. data thông tin nhân sự'!G:G,MATCH('03. Chi tiết TS các bộ phận'!H152,'6. data thông tin nhân sự'!B:B,0))</f>
        <v>Hành chính nhân sự - HR &amp; Admin</v>
      </c>
      <c r="K152" s="140" t="str">
        <f>INDEX('6. data thông tin nhân sự'!D:D,MATCH('03. Chi tiết TS các bộ phận'!H152,'6. data thông tin nhân sự'!B:B,0))</f>
        <v>Thử việc</v>
      </c>
      <c r="L152" s="139"/>
      <c r="M152" s="231">
        <v>46268</v>
      </c>
      <c r="N152" s="231" t="str">
        <f>INDEX('6. data thông tin nhân sự'!N:N, MATCH('03. Chi tiết TS các bộ phận'!H152, '6. data thông tin nhân sự'!B:B,0))</f>
        <v>03/09/2026</v>
      </c>
      <c r="O152" s="163" t="s">
        <v>298</v>
      </c>
      <c r="P152" s="163"/>
      <c r="Q152" s="163"/>
      <c r="R152" s="164" t="s">
        <v>544</v>
      </c>
      <c r="S152" s="164" t="s">
        <v>545</v>
      </c>
      <c r="T152" s="164" t="s">
        <v>546</v>
      </c>
      <c r="U152" s="163"/>
      <c r="V152" s="163"/>
    </row>
    <row r="153" spans="1:23" s="192" customFormat="1" ht="54.75" hidden="1" customHeight="1">
      <c r="A153" s="163" t="s">
        <v>548</v>
      </c>
      <c r="B153" s="163" t="s">
        <v>80</v>
      </c>
      <c r="C153" s="163"/>
      <c r="D153" s="163"/>
      <c r="E153" s="163" t="s">
        <v>534</v>
      </c>
      <c r="F153" s="139" t="s">
        <v>296</v>
      </c>
      <c r="G153" s="139">
        <v>1</v>
      </c>
      <c r="H153" s="163">
        <v>26031</v>
      </c>
      <c r="I153" s="140" t="str">
        <f>INDEX('6. data thông tin nhân sự'!C:C,MATCH('03. Chi tiết TS các bộ phận'!H153,'6. data thông tin nhân sự'!B:B,0))</f>
        <v>Lê Văn Thịnh</v>
      </c>
      <c r="J153" s="140" t="str">
        <f>INDEX('6. data thông tin nhân sự'!G:G,MATCH('03. Chi tiết TS các bộ phận'!H153,'6. data thông tin nhân sự'!B:B,0))</f>
        <v>Hành chính nhân sự - HR &amp; Admin</v>
      </c>
      <c r="K153" s="140" t="str">
        <f>INDEX('6. data thông tin nhân sự'!D:D,MATCH('03. Chi tiết TS các bộ phận'!H153,'6. data thông tin nhân sự'!B:B,0))</f>
        <v>Thử việc</v>
      </c>
      <c r="L153" s="625"/>
      <c r="M153" s="231">
        <v>46268</v>
      </c>
      <c r="N153" s="231" t="str">
        <f>INDEX('6. data thông tin nhân sự'!N:N, MATCH('03. Chi tiết TS các bộ phận'!H153, '6. data thông tin nhân sự'!B:B,0))</f>
        <v>03/09/2026</v>
      </c>
      <c r="O153" s="163" t="s">
        <v>298</v>
      </c>
      <c r="P153" s="163"/>
      <c r="Q153" s="163"/>
      <c r="R153" s="164"/>
      <c r="S153" s="164"/>
      <c r="T153" s="164"/>
      <c r="U153" s="163"/>
      <c r="V153" s="163"/>
    </row>
    <row r="154" spans="1:23" ht="48" hidden="1" customHeight="1">
      <c r="A154" s="163" t="s">
        <v>222</v>
      </c>
      <c r="B154" s="163" t="s">
        <v>77</v>
      </c>
      <c r="C154" s="163"/>
      <c r="D154" s="252" t="s">
        <v>529</v>
      </c>
      <c r="E154" s="163" t="s">
        <v>534</v>
      </c>
      <c r="F154" s="139" t="s">
        <v>296</v>
      </c>
      <c r="G154" s="139">
        <v>1</v>
      </c>
      <c r="H154" s="163">
        <v>26028</v>
      </c>
      <c r="I154" s="140" t="str">
        <f>INDEX('6. data thông tin nhân sự'!C:C,MATCH('03. Chi tiết TS các bộ phận'!H154,'6. data thông tin nhân sự'!B:B,0))</f>
        <v>Hoàng Thị Thu Trang</v>
      </c>
      <c r="J154" s="140" t="str">
        <f>INDEX('6. data thông tin nhân sự'!G:G,MATCH('03. Chi tiết TS các bộ phận'!H154,'6. data thông tin nhân sự'!B:B,0))</f>
        <v>Hành chính nhân sự - HR &amp; Admin</v>
      </c>
      <c r="K154" s="140" t="str">
        <f>INDEX('6. data thông tin nhân sự'!D:D,MATCH('03. Chi tiết TS các bộ phận'!H154,'6. data thông tin nhân sự'!B:B,0))</f>
        <v>Thử việc</v>
      </c>
      <c r="L154" s="718"/>
      <c r="M154" s="231"/>
      <c r="N154" s="231"/>
      <c r="O154" s="163" t="s">
        <v>298</v>
      </c>
      <c r="P154" s="140"/>
      <c r="Q154" s="140"/>
      <c r="R154" s="428" t="s">
        <v>549</v>
      </c>
      <c r="S154" s="428"/>
      <c r="T154" s="140"/>
      <c r="U154" s="140"/>
      <c r="V154" s="140"/>
      <c r="W154" s="192"/>
    </row>
    <row r="155" spans="1:23" ht="48" hidden="1" customHeight="1">
      <c r="A155" s="163" t="s">
        <v>550</v>
      </c>
      <c r="B155" s="163" t="s">
        <v>78</v>
      </c>
      <c r="C155" s="163" t="s">
        <v>299</v>
      </c>
      <c r="D155" s="163"/>
      <c r="E155" s="163" t="s">
        <v>534</v>
      </c>
      <c r="F155" s="139" t="s">
        <v>296</v>
      </c>
      <c r="G155" s="139">
        <v>1</v>
      </c>
      <c r="H155" s="163">
        <v>26028</v>
      </c>
      <c r="I155" s="140" t="str">
        <f>INDEX('6. data thông tin nhân sự'!C:C,MATCH('03. Chi tiết TS các bộ phận'!H155,'6. data thông tin nhân sự'!B:B,0))</f>
        <v>Hoàng Thị Thu Trang</v>
      </c>
      <c r="J155" s="140" t="str">
        <f>INDEX('6. data thông tin nhân sự'!G:G,MATCH('03. Chi tiết TS các bộ phận'!H155,'6. data thông tin nhân sự'!B:B,0))</f>
        <v>Hành chính nhân sự - HR &amp; Admin</v>
      </c>
      <c r="K155" s="140" t="str">
        <f>INDEX('6. data thông tin nhân sự'!D:D,MATCH('03. Chi tiết TS các bộ phận'!H155,'6. data thông tin nhân sự'!B:B,0))</f>
        <v>Thử việc</v>
      </c>
      <c r="L155" s="719"/>
      <c r="M155" s="231"/>
      <c r="N155" s="231"/>
      <c r="O155" s="163" t="s">
        <v>298</v>
      </c>
      <c r="P155" s="140"/>
      <c r="Q155" s="140"/>
      <c r="R155" s="428" t="s">
        <v>549</v>
      </c>
      <c r="S155" s="428" t="s">
        <v>549</v>
      </c>
      <c r="T155" s="140"/>
      <c r="U155" s="140"/>
      <c r="V155" s="140"/>
      <c r="W155" s="192"/>
    </row>
    <row r="156" spans="1:23" ht="48" hidden="1" customHeight="1">
      <c r="A156" s="163" t="s">
        <v>551</v>
      </c>
      <c r="B156" s="163" t="s">
        <v>80</v>
      </c>
      <c r="C156" s="163"/>
      <c r="D156" s="163"/>
      <c r="E156" s="163" t="s">
        <v>534</v>
      </c>
      <c r="F156" s="139" t="s">
        <v>296</v>
      </c>
      <c r="G156" s="139">
        <v>1</v>
      </c>
      <c r="H156" s="163">
        <v>26028</v>
      </c>
      <c r="I156" s="140" t="str">
        <f>INDEX('6. data thông tin nhân sự'!C:C,MATCH('03. Chi tiết TS các bộ phận'!H156,'6. data thông tin nhân sự'!B:B,0))</f>
        <v>Hoàng Thị Thu Trang</v>
      </c>
      <c r="J156" s="140" t="str">
        <f>INDEX('6. data thông tin nhân sự'!G:G,MATCH('03. Chi tiết TS các bộ phận'!H156,'6. data thông tin nhân sự'!B:B,0))</f>
        <v>Hành chính nhân sự - HR &amp; Admin</v>
      </c>
      <c r="K156" s="140" t="str">
        <f>INDEX('6. data thông tin nhân sự'!D:D,MATCH('03. Chi tiết TS các bộ phận'!H156,'6. data thông tin nhân sự'!B:B,0))</f>
        <v>Thử việc</v>
      </c>
      <c r="L156" s="719"/>
      <c r="M156" s="231"/>
      <c r="N156" s="231"/>
      <c r="O156" s="163" t="s">
        <v>298</v>
      </c>
      <c r="P156" s="140"/>
      <c r="Q156" s="140"/>
      <c r="R156" s="428" t="s">
        <v>549</v>
      </c>
      <c r="S156" s="428" t="s">
        <v>552</v>
      </c>
      <c r="T156" s="428" t="s">
        <v>549</v>
      </c>
      <c r="U156" s="140"/>
      <c r="V156" s="140"/>
      <c r="W156" s="192"/>
    </row>
    <row r="157" spans="1:23" ht="48" customHeight="1">
      <c r="A157" s="516" t="s">
        <v>197</v>
      </c>
      <c r="B157" s="517" t="s">
        <v>79</v>
      </c>
      <c r="C157" s="163"/>
      <c r="D157" s="163"/>
      <c r="E157" s="163" t="s">
        <v>526</v>
      </c>
      <c r="F157" s="139" t="s">
        <v>296</v>
      </c>
      <c r="G157" s="139">
        <v>1</v>
      </c>
      <c r="H157" s="163">
        <v>26028</v>
      </c>
      <c r="I157" s="140" t="str">
        <f>INDEX('6. data thông tin nhân sự'!C:C,MATCH('03. Chi tiết TS các bộ phận'!H157,'6. data thông tin nhân sự'!B:B,0))</f>
        <v>Hoàng Thị Thu Trang</v>
      </c>
      <c r="J157" s="140" t="str">
        <f>INDEX('6. data thông tin nhân sự'!G:G,MATCH('03. Chi tiết TS các bộ phận'!H157,'6. data thông tin nhân sự'!B:B,0))</f>
        <v>Hành chính nhân sự - HR &amp; Admin</v>
      </c>
      <c r="K157" s="140" t="str">
        <f>INDEX('6. data thông tin nhân sự'!D:D,MATCH('03. Chi tiết TS các bộ phận'!H157,'6. data thông tin nhân sự'!B:B,0))</f>
        <v>Thử việc</v>
      </c>
      <c r="L157" s="720"/>
      <c r="M157" s="231"/>
      <c r="N157" s="231"/>
      <c r="O157" s="163" t="s">
        <v>298</v>
      </c>
      <c r="P157" s="149"/>
      <c r="Q157" s="149" t="s">
        <v>553</v>
      </c>
      <c r="R157" s="149"/>
      <c r="S157" s="149"/>
      <c r="T157" s="149"/>
      <c r="U157" s="149"/>
      <c r="V157" s="149"/>
    </row>
    <row r="158" spans="1:23" s="155" customFormat="1" ht="27.75" hidden="1" customHeight="1">
      <c r="A158" s="157" t="s">
        <v>554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9"/>
      <c r="N158" s="159"/>
      <c r="O158" s="158"/>
      <c r="P158" s="158"/>
      <c r="Q158" s="158"/>
      <c r="R158" s="189"/>
      <c r="S158" s="189"/>
      <c r="T158" s="189"/>
      <c r="U158" s="189"/>
      <c r="V158" s="189"/>
    </row>
    <row r="159" spans="1:23" s="155" customFormat="1" ht="81" hidden="1" customHeight="1">
      <c r="A159" s="163" t="s">
        <v>116</v>
      </c>
      <c r="B159" s="163" t="s">
        <v>77</v>
      </c>
      <c r="C159" s="163"/>
      <c r="D159" s="252" t="s">
        <v>555</v>
      </c>
      <c r="E159" s="140" t="s">
        <v>556</v>
      </c>
      <c r="F159" s="139" t="s">
        <v>296</v>
      </c>
      <c r="G159" s="139">
        <v>1</v>
      </c>
      <c r="H159" s="163">
        <v>25043</v>
      </c>
      <c r="I159" s="166" t="str">
        <f>INDEX('6. data thông tin nhân sự'!C:C,MATCH('03. Chi tiết TS các bộ phận'!H159,'6. data thông tin nhân sự'!B:B,0))</f>
        <v>Đỗ Mỹ Linh</v>
      </c>
      <c r="J159" s="166" t="str">
        <f>INDEX('6. data thông tin nhân sự'!G:G,MATCH('03. Chi tiết TS các bộ phận'!H159,'6. data thông tin nhân sự'!B:B,0))</f>
        <v>Dự án - Project</v>
      </c>
      <c r="K159" s="166" t="str">
        <f>INDEX('6. data thông tin nhân sự'!D:D,MATCH('03. Chi tiết TS các bộ phận'!H159,'6. data thông tin nhân sự'!B:B,0))</f>
        <v>Chính thức</v>
      </c>
      <c r="L159" s="727" t="s">
        <v>557</v>
      </c>
      <c r="M159" s="231">
        <v>46204</v>
      </c>
      <c r="N159" s="231" t="str">
        <f>INDEX('6. data thông tin nhân sự'!N:N, MATCH('03. Chi tiết TS các bộ phận'!H159, '6. data thông tin nhân sự'!B:B,0))</f>
        <v>08/12/2025</v>
      </c>
      <c r="O159" s="163" t="s">
        <v>298</v>
      </c>
      <c r="P159" s="163"/>
      <c r="Q159" s="163"/>
      <c r="R159" s="164" t="s">
        <v>558</v>
      </c>
      <c r="S159" s="163"/>
      <c r="T159" s="163"/>
      <c r="U159" s="163"/>
      <c r="V159" s="163"/>
    </row>
    <row r="160" spans="1:23" s="155" customFormat="1" ht="50.25" hidden="1" customHeight="1">
      <c r="A160" s="163" t="s">
        <v>122</v>
      </c>
      <c r="B160" s="163" t="s">
        <v>78</v>
      </c>
      <c r="C160" s="163" t="s">
        <v>299</v>
      </c>
      <c r="D160" s="163"/>
      <c r="E160" s="140" t="s">
        <v>556</v>
      </c>
      <c r="F160" s="139" t="s">
        <v>296</v>
      </c>
      <c r="G160" s="139">
        <v>1</v>
      </c>
      <c r="H160" s="163">
        <v>25043</v>
      </c>
      <c r="I160" s="166" t="str">
        <f>INDEX('6. data thông tin nhân sự'!C:C,MATCH('03. Chi tiết TS các bộ phận'!H160,'6. data thông tin nhân sự'!B:B,0))</f>
        <v>Đỗ Mỹ Linh</v>
      </c>
      <c r="J160" s="166" t="str">
        <f>INDEX('6. data thông tin nhân sự'!G:G,MATCH('03. Chi tiết TS các bộ phận'!H160,'6. data thông tin nhân sự'!B:B,0))</f>
        <v>Dự án - Project</v>
      </c>
      <c r="K160" s="166" t="str">
        <f>INDEX('6. data thông tin nhân sự'!D:D,MATCH('03. Chi tiết TS các bộ phận'!H160,'6. data thông tin nhân sự'!B:B,0))</f>
        <v>Chính thức</v>
      </c>
      <c r="L160" s="727"/>
      <c r="M160" s="231">
        <v>46204</v>
      </c>
      <c r="N160" s="231" t="str">
        <f>INDEX('6. data thông tin nhân sự'!N:N, MATCH('03. Chi tiết TS các bộ phận'!H160, '6. data thông tin nhân sự'!B:B,0))</f>
        <v>08/12/2025</v>
      </c>
      <c r="O160" s="163" t="s">
        <v>298</v>
      </c>
      <c r="P160" s="163"/>
      <c r="Q160" s="163"/>
      <c r="R160" s="164" t="s">
        <v>558</v>
      </c>
      <c r="S160" s="163"/>
      <c r="T160" s="163"/>
      <c r="U160" s="163"/>
      <c r="V160" s="163"/>
    </row>
    <row r="161" spans="1:23" s="155" customFormat="1" ht="50.25" customHeight="1">
      <c r="A161" s="140" t="s">
        <v>123</v>
      </c>
      <c r="B161" s="140" t="s">
        <v>79</v>
      </c>
      <c r="C161" s="140"/>
      <c r="D161" s="140"/>
      <c r="E161" s="140" t="s">
        <v>556</v>
      </c>
      <c r="F161" s="139" t="s">
        <v>296</v>
      </c>
      <c r="G161" s="139">
        <v>1</v>
      </c>
      <c r="H161" s="163">
        <v>25043</v>
      </c>
      <c r="I161" s="166" t="str">
        <f>INDEX('6. data thông tin nhân sự'!C:C,MATCH('03. Chi tiết TS các bộ phận'!H161,'6. data thông tin nhân sự'!B:B,0))</f>
        <v>Đỗ Mỹ Linh</v>
      </c>
      <c r="J161" s="166" t="str">
        <f>INDEX('6. data thông tin nhân sự'!G:G,MATCH('03. Chi tiết TS các bộ phận'!H161,'6. data thông tin nhân sự'!B:B,0))</f>
        <v>Dự án - Project</v>
      </c>
      <c r="K161" s="166" t="str">
        <f>INDEX('6. data thông tin nhân sự'!D:D,MATCH('03. Chi tiết TS các bộ phận'!H161,'6. data thông tin nhân sự'!B:B,0))</f>
        <v>Chính thức</v>
      </c>
      <c r="L161" s="727"/>
      <c r="M161" s="231">
        <v>46204</v>
      </c>
      <c r="N161" s="231" t="str">
        <f>INDEX('6. data thông tin nhân sự'!N:N, MATCH('03. Chi tiết TS các bộ phận'!H161, '6. data thông tin nhân sự'!B:B,0))</f>
        <v>08/12/2025</v>
      </c>
      <c r="O161" s="163" t="s">
        <v>298</v>
      </c>
      <c r="P161" s="140"/>
      <c r="Q161" s="140"/>
      <c r="R161" s="164" t="s">
        <v>558</v>
      </c>
      <c r="S161" s="140"/>
      <c r="T161" s="140"/>
      <c r="U161" s="140"/>
      <c r="V161" s="140"/>
    </row>
    <row r="162" spans="1:23" ht="40.5" hidden="1" customHeight="1">
      <c r="A162" s="157" t="s">
        <v>559</v>
      </c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9"/>
      <c r="N162" s="159"/>
      <c r="O162" s="158"/>
      <c r="P162" s="158"/>
      <c r="Q162" s="158"/>
      <c r="R162" s="189"/>
      <c r="S162" s="189"/>
      <c r="T162" s="189"/>
      <c r="U162" s="189"/>
      <c r="V162" s="189"/>
      <c r="W162" s="155"/>
    </row>
    <row r="163" spans="1:23" s="155" customFormat="1" ht="33.75" hidden="1" customHeight="1">
      <c r="A163" s="163" t="s">
        <v>560</v>
      </c>
      <c r="B163" s="163" t="s">
        <v>78</v>
      </c>
      <c r="C163" s="163" t="s">
        <v>299</v>
      </c>
      <c r="D163" s="163"/>
      <c r="E163" s="140" t="s">
        <v>556</v>
      </c>
      <c r="F163" s="139" t="s">
        <v>296</v>
      </c>
      <c r="G163" s="139">
        <v>1</v>
      </c>
      <c r="H163" s="140">
        <v>23007</v>
      </c>
      <c r="I163" s="166" t="str">
        <f>INDEX('6. data thông tin nhân sự'!C:C,MATCH('03. Chi tiết TS các bộ phận'!H163,'6. data thông tin nhân sự'!B:B,0))</f>
        <v>Đặng Thế Quang</v>
      </c>
      <c r="J163" s="166" t="str">
        <f>INDEX('6. data thông tin nhân sự'!G:G,MATCH('03. Chi tiết TS các bộ phận'!H163,'6. data thông tin nhân sự'!B:B,0))</f>
        <v>Kinh doanh - Account</v>
      </c>
      <c r="K163" s="166" t="str">
        <f>INDEX('6. data thông tin nhân sự'!D:D,MATCH('03. Chi tiết TS các bộ phận'!H163,'6. data thông tin nhân sự'!B:B,0))</f>
        <v>Chính thức</v>
      </c>
      <c r="L163" s="139" t="s">
        <v>561</v>
      </c>
      <c r="M163" s="231">
        <v>46204</v>
      </c>
      <c r="N163" s="231">
        <v>46134</v>
      </c>
      <c r="O163" s="163" t="s">
        <v>298</v>
      </c>
      <c r="P163" s="149"/>
      <c r="Q163" s="149"/>
      <c r="R163" s="149"/>
      <c r="S163" s="149"/>
      <c r="T163" s="149"/>
      <c r="U163" s="149"/>
      <c r="V163" s="149"/>
    </row>
    <row r="164" spans="1:23" s="155" customFormat="1" ht="27.75" hidden="1" customHeight="1">
      <c r="A164" s="157" t="s">
        <v>562</v>
      </c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9"/>
      <c r="N164" s="159"/>
      <c r="O164" s="158"/>
      <c r="P164" s="158"/>
      <c r="Q164" s="158"/>
      <c r="R164" s="189"/>
      <c r="S164" s="189"/>
      <c r="T164" s="189"/>
      <c r="U164" s="189"/>
      <c r="V164" s="189"/>
    </row>
    <row r="165" spans="1:23" ht="40.5" customHeight="1">
      <c r="A165" s="166" t="s">
        <v>563</v>
      </c>
      <c r="B165" s="166" t="s">
        <v>79</v>
      </c>
      <c r="C165" s="166"/>
      <c r="D165" s="166"/>
      <c r="E165" s="166" t="s">
        <v>556</v>
      </c>
      <c r="F165" s="162" t="s">
        <v>296</v>
      </c>
      <c r="G165" s="162">
        <v>1</v>
      </c>
      <c r="H165" s="161"/>
      <c r="I165" s="161"/>
      <c r="J165" s="161"/>
      <c r="K165" s="161"/>
      <c r="L165" s="161"/>
      <c r="M165" s="228"/>
      <c r="N165" s="228"/>
      <c r="O165" s="156" t="s">
        <v>564</v>
      </c>
      <c r="P165" s="165"/>
      <c r="Q165" s="165"/>
      <c r="R165" s="179" t="s">
        <v>536</v>
      </c>
      <c r="S165" s="520" t="s">
        <v>565</v>
      </c>
      <c r="T165" s="165"/>
      <c r="U165" s="165"/>
      <c r="V165" s="165"/>
      <c r="W165" s="155"/>
    </row>
    <row r="166" spans="1:23" s="192" customFormat="1" ht="67.5" customHeight="1">
      <c r="A166" s="166" t="s">
        <v>566</v>
      </c>
      <c r="B166" s="166" t="s">
        <v>79</v>
      </c>
      <c r="C166" s="166"/>
      <c r="D166" s="166"/>
      <c r="E166" s="161" t="s">
        <v>534</v>
      </c>
      <c r="F166" s="162" t="s">
        <v>296</v>
      </c>
      <c r="G166" s="162">
        <v>1</v>
      </c>
      <c r="H166" s="161"/>
      <c r="I166" s="166"/>
      <c r="J166" s="166"/>
      <c r="K166" s="166"/>
      <c r="L166" s="166"/>
      <c r="M166" s="228"/>
      <c r="N166" s="228"/>
      <c r="O166" s="156" t="s">
        <v>564</v>
      </c>
      <c r="P166" s="140"/>
      <c r="Q166" s="140" t="s">
        <v>567</v>
      </c>
      <c r="R166" s="428" t="s">
        <v>568</v>
      </c>
      <c r="S166" s="428" t="s">
        <v>552</v>
      </c>
      <c r="T166" s="140"/>
      <c r="U166" s="140"/>
      <c r="V166" s="140"/>
    </row>
    <row r="167" spans="1:23" ht="27" customHeight="1">
      <c r="A167" s="445" t="s">
        <v>202</v>
      </c>
      <c r="B167" s="446" t="s">
        <v>79</v>
      </c>
      <c r="C167" s="161"/>
      <c r="D167" s="161"/>
      <c r="E167" s="161" t="s">
        <v>526</v>
      </c>
      <c r="F167" s="162" t="s">
        <v>296</v>
      </c>
      <c r="G167" s="162">
        <v>1</v>
      </c>
      <c r="H167" s="161"/>
      <c r="I167" s="161"/>
      <c r="J167" s="161"/>
      <c r="K167" s="161"/>
      <c r="L167" s="161"/>
      <c r="M167" s="228"/>
      <c r="N167" s="228"/>
      <c r="O167" s="156" t="s">
        <v>564</v>
      </c>
      <c r="P167" s="149"/>
      <c r="Q167" s="149" t="s">
        <v>553</v>
      </c>
      <c r="R167" s="149"/>
      <c r="S167" s="149"/>
      <c r="T167" s="149"/>
      <c r="U167" s="149"/>
      <c r="V167" s="149"/>
    </row>
    <row r="168" spans="1:23" ht="27" customHeight="1">
      <c r="A168" s="445" t="s">
        <v>206</v>
      </c>
      <c r="B168" s="446" t="s">
        <v>79</v>
      </c>
      <c r="C168" s="161"/>
      <c r="D168" s="161"/>
      <c r="E168" s="161" t="s">
        <v>526</v>
      </c>
      <c r="F168" s="162" t="s">
        <v>296</v>
      </c>
      <c r="G168" s="162">
        <v>1</v>
      </c>
      <c r="H168" s="161"/>
      <c r="I168" s="161"/>
      <c r="J168" s="161"/>
      <c r="K168" s="161"/>
      <c r="L168" s="161"/>
      <c r="M168" s="228"/>
      <c r="N168" s="228"/>
      <c r="O168" s="156" t="s">
        <v>564</v>
      </c>
      <c r="P168" s="149"/>
      <c r="Q168" s="149" t="s">
        <v>553</v>
      </c>
      <c r="R168" s="149"/>
      <c r="S168" s="149"/>
      <c r="T168" s="149"/>
      <c r="U168" s="149"/>
      <c r="V168" s="149"/>
    </row>
    <row r="169" spans="1:23" ht="27" customHeight="1">
      <c r="A169" s="445" t="s">
        <v>210</v>
      </c>
      <c r="B169" s="446" t="s">
        <v>79</v>
      </c>
      <c r="C169" s="161"/>
      <c r="D169" s="161"/>
      <c r="E169" s="161" t="s">
        <v>526</v>
      </c>
      <c r="F169" s="162" t="s">
        <v>296</v>
      </c>
      <c r="G169" s="162">
        <v>1</v>
      </c>
      <c r="H169" s="161"/>
      <c r="I169" s="161"/>
      <c r="J169" s="161"/>
      <c r="K169" s="161"/>
      <c r="L169" s="161"/>
      <c r="M169" s="228"/>
      <c r="N169" s="228"/>
      <c r="O169" s="156" t="s">
        <v>564</v>
      </c>
      <c r="P169" s="149"/>
      <c r="Q169" s="149" t="s">
        <v>553</v>
      </c>
      <c r="R169" s="149"/>
      <c r="S169" s="149"/>
      <c r="T169" s="149"/>
      <c r="U169" s="149"/>
      <c r="V169" s="149"/>
    </row>
    <row r="170" spans="1:23" ht="27" customHeight="1">
      <c r="A170" s="445" t="s">
        <v>213</v>
      </c>
      <c r="B170" s="443" t="s">
        <v>79</v>
      </c>
      <c r="C170" s="443"/>
      <c r="D170" s="443"/>
      <c r="E170" s="161" t="s">
        <v>526</v>
      </c>
      <c r="F170" s="162" t="s">
        <v>296</v>
      </c>
      <c r="G170" s="162">
        <v>1</v>
      </c>
      <c r="H170" s="443"/>
      <c r="I170" s="443"/>
      <c r="J170" s="443"/>
      <c r="K170" s="443"/>
      <c r="L170" s="443"/>
      <c r="M170" s="577"/>
      <c r="N170" s="577"/>
      <c r="O170" s="156" t="s">
        <v>564</v>
      </c>
      <c r="P170" s="437"/>
      <c r="Q170" s="149" t="s">
        <v>553</v>
      </c>
      <c r="R170" s="437"/>
      <c r="S170" s="437"/>
      <c r="T170" s="437"/>
      <c r="U170" s="437"/>
      <c r="V170" s="437"/>
    </row>
    <row r="171" spans="1:23" ht="27" customHeight="1">
      <c r="A171" s="161" t="s">
        <v>217</v>
      </c>
      <c r="B171" s="443" t="s">
        <v>79</v>
      </c>
      <c r="C171" s="161"/>
      <c r="D171" s="161"/>
      <c r="E171" s="161" t="s">
        <v>526</v>
      </c>
      <c r="F171" s="162" t="s">
        <v>296</v>
      </c>
      <c r="G171" s="162">
        <v>1</v>
      </c>
      <c r="H171" s="161"/>
      <c r="I171" s="161"/>
      <c r="J171" s="161"/>
      <c r="K171" s="161"/>
      <c r="L171" s="161"/>
      <c r="M171" s="228"/>
      <c r="N171" s="228"/>
      <c r="O171" s="156" t="s">
        <v>564</v>
      </c>
      <c r="P171" s="149"/>
      <c r="Q171" s="149" t="s">
        <v>553</v>
      </c>
      <c r="R171" s="149"/>
      <c r="S171" s="149"/>
      <c r="T171" s="149"/>
      <c r="U171" s="149"/>
      <c r="V171" s="149"/>
    </row>
    <row r="172" spans="1:23" ht="27" customHeight="1">
      <c r="A172" s="445" t="s">
        <v>220</v>
      </c>
      <c r="B172" s="446" t="s">
        <v>79</v>
      </c>
      <c r="C172" s="161"/>
      <c r="D172" s="161"/>
      <c r="E172" s="161" t="s">
        <v>526</v>
      </c>
      <c r="F172" s="162" t="s">
        <v>296</v>
      </c>
      <c r="G172" s="162">
        <v>1</v>
      </c>
      <c r="H172" s="161"/>
      <c r="I172" s="161"/>
      <c r="J172" s="161"/>
      <c r="K172" s="161"/>
      <c r="L172" s="161"/>
      <c r="M172" s="228"/>
      <c r="N172" s="228"/>
      <c r="O172" s="156" t="s">
        <v>564</v>
      </c>
      <c r="P172" s="149"/>
      <c r="Q172" s="149" t="s">
        <v>553</v>
      </c>
      <c r="R172" s="149"/>
      <c r="S172" s="149"/>
      <c r="T172" s="149"/>
      <c r="U172" s="149"/>
      <c r="V172" s="149"/>
    </row>
    <row r="173" spans="1:23" ht="27" customHeight="1">
      <c r="A173" s="445" t="s">
        <v>223</v>
      </c>
      <c r="B173" s="446" t="s">
        <v>79</v>
      </c>
      <c r="C173" s="161"/>
      <c r="D173" s="161"/>
      <c r="E173" s="161" t="s">
        <v>526</v>
      </c>
      <c r="F173" s="162" t="s">
        <v>296</v>
      </c>
      <c r="G173" s="162">
        <v>1</v>
      </c>
      <c r="H173" s="161"/>
      <c r="I173" s="161"/>
      <c r="J173" s="161"/>
      <c r="K173" s="161"/>
      <c r="L173" s="161"/>
      <c r="M173" s="228"/>
      <c r="N173" s="228"/>
      <c r="O173" s="156" t="s">
        <v>564</v>
      </c>
      <c r="P173" s="149"/>
      <c r="Q173" s="149" t="s">
        <v>553</v>
      </c>
      <c r="R173" s="149"/>
      <c r="S173" s="149"/>
      <c r="T173" s="149"/>
      <c r="U173" s="149"/>
      <c r="V173" s="149"/>
    </row>
    <row r="174" spans="1:23" s="431" customFormat="1" ht="27" hidden="1" customHeight="1">
      <c r="A174" s="516" t="s">
        <v>211</v>
      </c>
      <c r="B174" s="517" t="s">
        <v>80</v>
      </c>
      <c r="C174" s="163"/>
      <c r="D174" s="163"/>
      <c r="E174" s="163" t="s">
        <v>526</v>
      </c>
      <c r="F174" s="139" t="s">
        <v>296</v>
      </c>
      <c r="G174" s="139">
        <v>1</v>
      </c>
      <c r="H174" s="163"/>
      <c r="I174" s="163"/>
      <c r="J174" s="163"/>
      <c r="K174" s="163"/>
      <c r="L174" s="163"/>
      <c r="M174" s="231"/>
      <c r="N174" s="231"/>
      <c r="O174" s="156" t="s">
        <v>564</v>
      </c>
      <c r="P174" s="163"/>
      <c r="Q174" s="163" t="s">
        <v>569</v>
      </c>
      <c r="R174" s="163"/>
      <c r="S174" s="163"/>
      <c r="T174" s="163"/>
      <c r="U174" s="163"/>
      <c r="V174" s="163"/>
    </row>
    <row r="175" spans="1:23" s="431" customFormat="1" ht="27" hidden="1" customHeight="1">
      <c r="A175" s="516" t="s">
        <v>214</v>
      </c>
      <c r="B175" s="163" t="s">
        <v>80</v>
      </c>
      <c r="C175" s="163"/>
      <c r="D175" s="163"/>
      <c r="E175" s="163" t="s">
        <v>526</v>
      </c>
      <c r="F175" s="139" t="s">
        <v>296</v>
      </c>
      <c r="G175" s="139">
        <v>1</v>
      </c>
      <c r="H175" s="163"/>
      <c r="I175" s="163"/>
      <c r="J175" s="163"/>
      <c r="K175" s="163"/>
      <c r="L175" s="163"/>
      <c r="M175" s="231"/>
      <c r="N175" s="231"/>
      <c r="O175" s="156" t="s">
        <v>564</v>
      </c>
      <c r="P175" s="163"/>
      <c r="Q175" s="163" t="s">
        <v>569</v>
      </c>
      <c r="R175" s="163"/>
      <c r="S175" s="163"/>
      <c r="T175" s="163"/>
      <c r="U175" s="163"/>
      <c r="V175" s="163"/>
    </row>
    <row r="176" spans="1:23" s="431" customFormat="1" ht="27" hidden="1" customHeight="1">
      <c r="A176" s="163" t="s">
        <v>218</v>
      </c>
      <c r="B176" s="163" t="s">
        <v>80</v>
      </c>
      <c r="C176" s="163"/>
      <c r="D176" s="163"/>
      <c r="E176" s="163" t="s">
        <v>526</v>
      </c>
      <c r="F176" s="139" t="s">
        <v>296</v>
      </c>
      <c r="G176" s="139">
        <v>1</v>
      </c>
      <c r="H176" s="163"/>
      <c r="I176" s="163"/>
      <c r="J176" s="163"/>
      <c r="K176" s="163"/>
      <c r="L176" s="163"/>
      <c r="M176" s="231"/>
      <c r="N176" s="231"/>
      <c r="O176" s="156" t="s">
        <v>564</v>
      </c>
      <c r="P176" s="163"/>
      <c r="Q176" s="163" t="s">
        <v>569</v>
      </c>
      <c r="R176" s="163"/>
      <c r="S176" s="163"/>
      <c r="T176" s="163"/>
      <c r="U176" s="163"/>
      <c r="V176" s="163"/>
    </row>
    <row r="177" spans="1:22" s="431" customFormat="1" ht="27" hidden="1" customHeight="1">
      <c r="A177" s="516" t="s">
        <v>221</v>
      </c>
      <c r="B177" s="517" t="s">
        <v>80</v>
      </c>
      <c r="C177" s="163"/>
      <c r="D177" s="163"/>
      <c r="E177" s="163" t="s">
        <v>526</v>
      </c>
      <c r="F177" s="139" t="s">
        <v>296</v>
      </c>
      <c r="G177" s="139">
        <v>1</v>
      </c>
      <c r="H177" s="163"/>
      <c r="I177" s="163"/>
      <c r="J177" s="163"/>
      <c r="K177" s="163"/>
      <c r="L177" s="163"/>
      <c r="M177" s="231"/>
      <c r="N177" s="231"/>
      <c r="O177" s="156" t="s">
        <v>564</v>
      </c>
      <c r="P177" s="163"/>
      <c r="Q177" s="163" t="s">
        <v>569</v>
      </c>
      <c r="R177" s="163"/>
      <c r="S177" s="163"/>
      <c r="T177" s="163"/>
      <c r="U177" s="163"/>
      <c r="V177" s="163"/>
    </row>
    <row r="178" spans="1:22" s="431" customFormat="1" ht="27" hidden="1" customHeight="1">
      <c r="A178" s="516" t="s">
        <v>224</v>
      </c>
      <c r="B178" s="517" t="s">
        <v>80</v>
      </c>
      <c r="C178" s="163"/>
      <c r="D178" s="163"/>
      <c r="E178" s="163" t="s">
        <v>526</v>
      </c>
      <c r="F178" s="139" t="s">
        <v>296</v>
      </c>
      <c r="G178" s="139">
        <v>1</v>
      </c>
      <c r="H178" s="163"/>
      <c r="I178" s="163"/>
      <c r="J178" s="163"/>
      <c r="K178" s="163"/>
      <c r="L178" s="163"/>
      <c r="M178" s="231"/>
      <c r="N178" s="231"/>
      <c r="O178" s="156" t="s">
        <v>564</v>
      </c>
      <c r="P178" s="163"/>
      <c r="Q178" s="163" t="s">
        <v>569</v>
      </c>
      <c r="R178" s="163"/>
      <c r="S178" s="163"/>
      <c r="T178" s="163"/>
      <c r="U178" s="163"/>
      <c r="V178" s="163"/>
    </row>
    <row r="179" spans="1:22" s="431" customFormat="1" ht="27" hidden="1" customHeight="1">
      <c r="A179" s="516" t="s">
        <v>199</v>
      </c>
      <c r="B179" s="517" t="s">
        <v>80</v>
      </c>
      <c r="C179" s="518"/>
      <c r="D179" s="518"/>
      <c r="E179" s="163" t="s">
        <v>526</v>
      </c>
      <c r="F179" s="139" t="s">
        <v>296</v>
      </c>
      <c r="G179" s="139">
        <v>1</v>
      </c>
      <c r="H179" s="518"/>
      <c r="I179" s="518"/>
      <c r="J179" s="518"/>
      <c r="K179" s="518"/>
      <c r="L179" s="518"/>
      <c r="M179" s="519"/>
      <c r="N179" s="519"/>
      <c r="O179" s="156" t="s">
        <v>564</v>
      </c>
      <c r="P179" s="518"/>
      <c r="Q179" s="163" t="s">
        <v>569</v>
      </c>
      <c r="R179" s="518"/>
      <c r="S179" s="518"/>
      <c r="T179" s="518"/>
      <c r="U179" s="518"/>
      <c r="V179" s="518"/>
    </row>
    <row r="180" spans="1:22" s="431" customFormat="1" ht="27" hidden="1" customHeight="1">
      <c r="A180" s="516" t="s">
        <v>203</v>
      </c>
      <c r="B180" s="517" t="s">
        <v>80</v>
      </c>
      <c r="C180" s="518"/>
      <c r="D180" s="518"/>
      <c r="E180" s="163" t="s">
        <v>526</v>
      </c>
      <c r="F180" s="139" t="s">
        <v>296</v>
      </c>
      <c r="G180" s="139">
        <v>1</v>
      </c>
      <c r="H180" s="518"/>
      <c r="I180" s="518"/>
      <c r="J180" s="518"/>
      <c r="K180" s="518"/>
      <c r="L180" s="518"/>
      <c r="M180" s="519"/>
      <c r="N180" s="519"/>
      <c r="O180" s="156" t="s">
        <v>564</v>
      </c>
      <c r="P180" s="518"/>
      <c r="Q180" s="163" t="s">
        <v>569</v>
      </c>
      <c r="R180" s="518"/>
      <c r="S180" s="518"/>
      <c r="T180" s="518"/>
      <c r="U180" s="518"/>
      <c r="V180" s="518"/>
    </row>
    <row r="181" spans="1:22" s="431" customFormat="1" ht="27" hidden="1" customHeight="1">
      <c r="A181" s="516" t="s">
        <v>207</v>
      </c>
      <c r="B181" s="517" t="s">
        <v>80</v>
      </c>
      <c r="C181" s="163"/>
      <c r="D181" s="163"/>
      <c r="E181" s="163" t="s">
        <v>526</v>
      </c>
      <c r="F181" s="139" t="s">
        <v>296</v>
      </c>
      <c r="G181" s="139">
        <v>1</v>
      </c>
      <c r="H181" s="163"/>
      <c r="I181" s="163"/>
      <c r="J181" s="163"/>
      <c r="K181" s="163"/>
      <c r="L181" s="163"/>
      <c r="M181" s="231"/>
      <c r="N181" s="231"/>
      <c r="O181" s="156" t="s">
        <v>564</v>
      </c>
      <c r="P181" s="163"/>
      <c r="Q181" s="163" t="s">
        <v>569</v>
      </c>
      <c r="R181" s="163"/>
      <c r="S181" s="163"/>
      <c r="T181" s="163"/>
      <c r="U181" s="163"/>
      <c r="V181" s="163"/>
    </row>
    <row r="182" spans="1:22" s="192" customFormat="1" ht="51" hidden="1" customHeight="1">
      <c r="A182" s="163" t="s">
        <v>570</v>
      </c>
      <c r="B182" s="163" t="s">
        <v>80</v>
      </c>
      <c r="C182" s="163"/>
      <c r="D182" s="163"/>
      <c r="E182" s="163" t="s">
        <v>526</v>
      </c>
      <c r="F182" s="139" t="s">
        <v>296</v>
      </c>
      <c r="G182" s="139">
        <v>1</v>
      </c>
      <c r="H182" s="163"/>
      <c r="I182" s="163"/>
      <c r="J182" s="163"/>
      <c r="K182" s="163"/>
      <c r="L182" s="163"/>
      <c r="M182" s="231"/>
      <c r="N182" s="231"/>
      <c r="O182" s="156" t="s">
        <v>564</v>
      </c>
      <c r="P182" s="163"/>
      <c r="Q182" s="163"/>
      <c r="R182" s="164" t="s">
        <v>571</v>
      </c>
      <c r="S182" s="163"/>
      <c r="T182" s="163"/>
      <c r="U182" s="163"/>
      <c r="V182" s="163"/>
    </row>
    <row r="183" spans="1:22" s="192" customFormat="1" ht="27.75" hidden="1" customHeight="1">
      <c r="A183" s="163" t="s">
        <v>572</v>
      </c>
      <c r="B183" s="163" t="s">
        <v>80</v>
      </c>
      <c r="C183" s="140"/>
      <c r="D183" s="140"/>
      <c r="E183" s="163" t="s">
        <v>526</v>
      </c>
      <c r="F183" s="139" t="s">
        <v>296</v>
      </c>
      <c r="G183" s="139"/>
      <c r="H183" s="163"/>
      <c r="I183" s="140"/>
      <c r="J183" s="163"/>
      <c r="K183" s="163"/>
      <c r="L183" s="163"/>
      <c r="M183" s="231"/>
      <c r="N183" s="231"/>
      <c r="O183" s="156" t="s">
        <v>564</v>
      </c>
      <c r="P183" s="140"/>
      <c r="Q183" s="140"/>
      <c r="R183" s="140"/>
      <c r="S183" s="140"/>
      <c r="T183" s="140"/>
      <c r="U183" s="140"/>
      <c r="V183" s="140"/>
    </row>
    <row r="184" spans="1:22" s="192" customFormat="1" ht="60.75" hidden="1" customHeight="1">
      <c r="A184" s="163" t="s">
        <v>548</v>
      </c>
      <c r="B184" s="163" t="s">
        <v>80</v>
      </c>
      <c r="C184" s="140"/>
      <c r="D184" s="140"/>
      <c r="E184" s="163" t="s">
        <v>526</v>
      </c>
      <c r="F184" s="139" t="s">
        <v>296</v>
      </c>
      <c r="G184" s="139">
        <v>1</v>
      </c>
      <c r="H184" s="163"/>
      <c r="I184" s="140"/>
      <c r="J184" s="163"/>
      <c r="K184" s="163"/>
      <c r="L184" s="163"/>
      <c r="M184" s="231"/>
      <c r="N184" s="231"/>
      <c r="O184" s="156" t="s">
        <v>564</v>
      </c>
      <c r="P184" s="140"/>
      <c r="Q184" s="140"/>
      <c r="R184" s="428" t="s">
        <v>565</v>
      </c>
      <c r="S184" s="140"/>
      <c r="T184" s="140"/>
      <c r="U184" s="140"/>
      <c r="V184" s="140"/>
    </row>
    <row r="185" spans="1:22" s="192" customFormat="1" ht="60.75" hidden="1" customHeight="1">
      <c r="A185" s="170" t="s">
        <v>573</v>
      </c>
      <c r="B185" s="170" t="s">
        <v>81</v>
      </c>
      <c r="C185" s="170"/>
      <c r="D185" s="191" t="s">
        <v>380</v>
      </c>
      <c r="E185" s="170" t="s">
        <v>534</v>
      </c>
      <c r="F185" s="190" t="s">
        <v>346</v>
      </c>
      <c r="G185" s="190">
        <v>1</v>
      </c>
      <c r="H185" s="170"/>
      <c r="I185" s="170"/>
      <c r="J185" s="170"/>
      <c r="K185" s="170"/>
      <c r="L185" s="170"/>
      <c r="M185" s="497"/>
      <c r="N185" s="170"/>
      <c r="O185" s="156" t="s">
        <v>564</v>
      </c>
      <c r="P185" s="170"/>
      <c r="Q185" s="170" t="s">
        <v>574</v>
      </c>
      <c r="R185" s="191" t="s">
        <v>575</v>
      </c>
      <c r="S185" s="170"/>
      <c r="T185" s="170"/>
      <c r="U185" s="170"/>
      <c r="V185" s="170"/>
    </row>
    <row r="186" spans="1:22" s="192" customFormat="1" ht="60.75" hidden="1" customHeight="1">
      <c r="A186" s="170" t="s">
        <v>576</v>
      </c>
      <c r="B186" s="170" t="s">
        <v>81</v>
      </c>
      <c r="C186" s="170"/>
      <c r="D186" s="191" t="s">
        <v>380</v>
      </c>
      <c r="E186" s="170" t="s">
        <v>534</v>
      </c>
      <c r="F186" s="190" t="s">
        <v>346</v>
      </c>
      <c r="G186" s="190">
        <v>1</v>
      </c>
      <c r="H186" s="170"/>
      <c r="I186" s="170"/>
      <c r="J186" s="170"/>
      <c r="K186" s="170"/>
      <c r="L186" s="170"/>
      <c r="M186" s="497"/>
      <c r="N186" s="170"/>
      <c r="O186" s="156" t="s">
        <v>564</v>
      </c>
      <c r="P186" s="170"/>
      <c r="Q186" s="170"/>
      <c r="R186" s="191" t="s">
        <v>575</v>
      </c>
      <c r="S186" s="170"/>
      <c r="T186" s="170"/>
      <c r="U186" s="170"/>
      <c r="V186" s="170"/>
    </row>
    <row r="187" spans="1:22" s="192" customFormat="1" ht="60.75" hidden="1" customHeight="1">
      <c r="A187" s="170" t="s">
        <v>577</v>
      </c>
      <c r="B187" s="170" t="s">
        <v>81</v>
      </c>
      <c r="C187" s="170"/>
      <c r="D187" s="191" t="s">
        <v>380</v>
      </c>
      <c r="E187" s="170" t="s">
        <v>534</v>
      </c>
      <c r="F187" s="190" t="s">
        <v>346</v>
      </c>
      <c r="G187" s="190">
        <v>1</v>
      </c>
      <c r="H187" s="170"/>
      <c r="I187" s="170"/>
      <c r="J187" s="170"/>
      <c r="K187" s="170"/>
      <c r="L187" s="170"/>
      <c r="M187" s="497"/>
      <c r="N187" s="170"/>
      <c r="O187" s="156" t="s">
        <v>564</v>
      </c>
      <c r="P187" s="170"/>
      <c r="Q187" s="170"/>
      <c r="R187" s="191" t="s">
        <v>575</v>
      </c>
      <c r="S187" s="170"/>
      <c r="T187" s="170"/>
      <c r="U187" s="170"/>
      <c r="V187" s="170"/>
    </row>
    <row r="188" spans="1:22" ht="27" hidden="1" customHeight="1">
      <c r="A188" s="161" t="s">
        <v>212</v>
      </c>
      <c r="B188" s="161" t="s">
        <v>77</v>
      </c>
      <c r="C188" s="161"/>
      <c r="D188" s="161"/>
      <c r="E188" s="161" t="s">
        <v>526</v>
      </c>
      <c r="F188" s="162" t="s">
        <v>296</v>
      </c>
      <c r="G188" s="162">
        <v>1</v>
      </c>
      <c r="H188" s="161"/>
      <c r="I188" s="161"/>
      <c r="J188" s="161"/>
      <c r="K188" s="161"/>
      <c r="L188" s="161"/>
      <c r="M188" s="228"/>
      <c r="N188" s="228"/>
      <c r="O188" s="156" t="s">
        <v>564</v>
      </c>
      <c r="P188" s="149"/>
      <c r="Q188" s="149" t="s">
        <v>578</v>
      </c>
      <c r="R188" s="149"/>
      <c r="S188" s="149"/>
      <c r="T188" s="149"/>
      <c r="U188" s="149"/>
      <c r="V188" s="149"/>
    </row>
    <row r="189" spans="1:22" ht="63.75" hidden="1" customHeight="1">
      <c r="A189" s="161" t="s">
        <v>579</v>
      </c>
      <c r="B189" s="161" t="s">
        <v>77</v>
      </c>
      <c r="C189" s="161"/>
      <c r="D189" s="161"/>
      <c r="E189" s="161" t="s">
        <v>526</v>
      </c>
      <c r="F189" s="162" t="s">
        <v>296</v>
      </c>
      <c r="G189" s="162">
        <v>1</v>
      </c>
      <c r="H189" s="161"/>
      <c r="I189" s="161"/>
      <c r="J189" s="161"/>
      <c r="K189" s="161"/>
      <c r="L189" s="161"/>
      <c r="M189" s="228"/>
      <c r="N189" s="228"/>
      <c r="O189" s="156" t="s">
        <v>564</v>
      </c>
      <c r="P189" s="149"/>
      <c r="Q189" s="149"/>
      <c r="R189" s="179" t="s">
        <v>580</v>
      </c>
      <c r="S189" s="149"/>
      <c r="T189" s="149"/>
      <c r="U189" s="149"/>
      <c r="V189" s="149"/>
    </row>
    <row r="190" spans="1:22" s="192" customFormat="1" ht="63.75" hidden="1" customHeight="1">
      <c r="A190" s="163" t="s">
        <v>581</v>
      </c>
      <c r="B190" s="163" t="s">
        <v>78</v>
      </c>
      <c r="C190" s="163"/>
      <c r="D190" s="163"/>
      <c r="E190" s="163" t="s">
        <v>526</v>
      </c>
      <c r="F190" s="139" t="s">
        <v>296</v>
      </c>
      <c r="G190" s="139">
        <v>1</v>
      </c>
      <c r="H190" s="163"/>
      <c r="I190" s="163"/>
      <c r="J190" s="163"/>
      <c r="K190" s="163"/>
      <c r="L190" s="163"/>
      <c r="M190" s="231"/>
      <c r="N190" s="231"/>
      <c r="O190" s="156" t="s">
        <v>564</v>
      </c>
      <c r="P190" s="163"/>
      <c r="Q190" s="163"/>
      <c r="R190" s="164" t="s">
        <v>582</v>
      </c>
      <c r="S190" s="163"/>
      <c r="T190" s="163"/>
      <c r="U190" s="163"/>
      <c r="V190" s="163"/>
    </row>
    <row r="191" spans="1:22" s="192" customFormat="1" ht="63.75" hidden="1" customHeight="1">
      <c r="A191" s="163" t="s">
        <v>583</v>
      </c>
      <c r="B191" s="163" t="s">
        <v>78</v>
      </c>
      <c r="C191" s="163"/>
      <c r="D191" s="163"/>
      <c r="E191" s="163" t="s">
        <v>526</v>
      </c>
      <c r="F191" s="139" t="s">
        <v>296</v>
      </c>
      <c r="G191" s="139">
        <v>1</v>
      </c>
      <c r="H191" s="163"/>
      <c r="I191" s="163"/>
      <c r="J191" s="163"/>
      <c r="K191" s="163"/>
      <c r="L191" s="163"/>
      <c r="M191" s="231"/>
      <c r="N191" s="231"/>
      <c r="O191" s="156" t="s">
        <v>564</v>
      </c>
      <c r="P191" s="163"/>
      <c r="Q191" s="163"/>
      <c r="R191" s="164" t="s">
        <v>580</v>
      </c>
      <c r="S191" s="163"/>
      <c r="T191" s="163"/>
      <c r="U191" s="163"/>
      <c r="V191" s="163"/>
    </row>
    <row r="192" spans="1:22" s="155" customFormat="1" ht="57" hidden="1" customHeight="1">
      <c r="A192" s="161" t="s">
        <v>584</v>
      </c>
      <c r="B192" s="161" t="s">
        <v>76</v>
      </c>
      <c r="C192" s="161" t="s">
        <v>585</v>
      </c>
      <c r="D192" s="236" t="s">
        <v>586</v>
      </c>
      <c r="E192" s="161" t="s">
        <v>526</v>
      </c>
      <c r="F192" s="162" t="s">
        <v>296</v>
      </c>
      <c r="G192" s="162">
        <v>1</v>
      </c>
      <c r="H192" s="161"/>
      <c r="I192" s="161"/>
      <c r="J192" s="161"/>
      <c r="K192" s="161"/>
      <c r="L192" s="161"/>
      <c r="M192" s="228"/>
      <c r="N192" s="228"/>
      <c r="O192" s="156" t="s">
        <v>564</v>
      </c>
      <c r="P192" s="161" t="s">
        <v>368</v>
      </c>
      <c r="Q192" s="229" t="s">
        <v>587</v>
      </c>
      <c r="R192" s="161" t="s">
        <v>401</v>
      </c>
      <c r="S192" s="161" t="s">
        <v>402</v>
      </c>
      <c r="T192" s="229" t="s">
        <v>588</v>
      </c>
      <c r="U192" s="229" t="s">
        <v>403</v>
      </c>
      <c r="V192" s="229" t="s">
        <v>589</v>
      </c>
    </row>
    <row r="193" spans="1:23" s="431" customFormat="1" ht="57" hidden="1" customHeight="1">
      <c r="A193" s="163" t="s">
        <v>590</v>
      </c>
      <c r="B193" s="163" t="s">
        <v>77</v>
      </c>
      <c r="C193" s="163"/>
      <c r="D193" s="163"/>
      <c r="E193" s="163" t="s">
        <v>295</v>
      </c>
      <c r="F193" s="139" t="s">
        <v>296</v>
      </c>
      <c r="G193" s="139">
        <v>1</v>
      </c>
      <c r="H193" s="163"/>
      <c r="I193" s="140" t="e">
        <f>INDEX('6. data thông tin nhân sự'!C:C,MATCH('03. Chi tiết TS các bộ phận'!H193,'6. data thông tin nhân sự'!B:B,0))</f>
        <v>#N/A</v>
      </c>
      <c r="J193" s="140" t="e">
        <f>INDEX('6. data thông tin nhân sự'!G:G,MATCH('03. Chi tiết TS các bộ phận'!H193,'6. data thông tin nhân sự'!B:B,0))</f>
        <v>#N/A</v>
      </c>
      <c r="K193" s="140" t="e">
        <f>INDEX('6. data thông tin nhân sự'!D:D,MATCH('03. Chi tiết TS các bộ phận'!H193,'6. data thông tin nhân sự'!B:B,0))</f>
        <v>#N/A</v>
      </c>
      <c r="L193" s="718"/>
      <c r="M193" s="231"/>
      <c r="N193" s="231"/>
      <c r="O193" s="156" t="s">
        <v>564</v>
      </c>
      <c r="P193" s="163"/>
      <c r="Q193" s="164" t="s">
        <v>591</v>
      </c>
      <c r="R193" s="163" t="s">
        <v>592</v>
      </c>
      <c r="S193" s="163"/>
      <c r="T193" s="163"/>
      <c r="U193" s="163"/>
      <c r="V193" s="163"/>
      <c r="W193" s="192"/>
    </row>
    <row r="194" spans="1:23" s="431" customFormat="1" ht="57" hidden="1" customHeight="1">
      <c r="A194" s="163" t="s">
        <v>593</v>
      </c>
      <c r="B194" s="163" t="s">
        <v>78</v>
      </c>
      <c r="C194" s="163" t="s">
        <v>299</v>
      </c>
      <c r="D194" s="163"/>
      <c r="E194" s="163" t="s">
        <v>295</v>
      </c>
      <c r="F194" s="139" t="s">
        <v>296</v>
      </c>
      <c r="G194" s="139">
        <v>1</v>
      </c>
      <c r="H194" s="163"/>
      <c r="I194" s="140" t="e">
        <f>INDEX('6. data thông tin nhân sự'!C:C,MATCH('03. Chi tiết TS các bộ phận'!H194,'6. data thông tin nhân sự'!B:B,0))</f>
        <v>#N/A</v>
      </c>
      <c r="J194" s="140" t="e">
        <f>INDEX('6. data thông tin nhân sự'!G:G,MATCH('03. Chi tiết TS các bộ phận'!H194,'6. data thông tin nhân sự'!B:B,0))</f>
        <v>#N/A</v>
      </c>
      <c r="K194" s="140" t="e">
        <f>INDEX('6. data thông tin nhân sự'!D:D,MATCH('03. Chi tiết TS các bộ phận'!H194,'6. data thông tin nhân sự'!B:B,0))</f>
        <v>#N/A</v>
      </c>
      <c r="L194" s="719"/>
      <c r="M194" s="231"/>
      <c r="N194" s="231"/>
      <c r="O194" s="156" t="s">
        <v>564</v>
      </c>
      <c r="P194" s="163"/>
      <c r="Q194" s="163"/>
      <c r="R194" s="163" t="s">
        <v>592</v>
      </c>
      <c r="S194" s="163"/>
      <c r="T194" s="163"/>
      <c r="U194" s="163"/>
      <c r="V194" s="163"/>
      <c r="W194" s="192"/>
    </row>
    <row r="195" spans="1:23" s="431" customFormat="1" ht="57" hidden="1" customHeight="1">
      <c r="A195" s="163" t="s">
        <v>594</v>
      </c>
      <c r="B195" s="163" t="s">
        <v>80</v>
      </c>
      <c r="C195" s="163"/>
      <c r="D195" s="163"/>
      <c r="E195" s="163" t="s">
        <v>295</v>
      </c>
      <c r="F195" s="139" t="s">
        <v>296</v>
      </c>
      <c r="G195" s="139">
        <v>1</v>
      </c>
      <c r="H195" s="163"/>
      <c r="I195" s="140" t="e">
        <f>INDEX('6. data thông tin nhân sự'!C:C,MATCH('03. Chi tiết TS các bộ phận'!H195,'6. data thông tin nhân sự'!B:B,0))</f>
        <v>#N/A</v>
      </c>
      <c r="J195" s="140" t="e">
        <f>INDEX('6. data thông tin nhân sự'!G:G,MATCH('03. Chi tiết TS các bộ phận'!H195,'6. data thông tin nhân sự'!B:B,0))</f>
        <v>#N/A</v>
      </c>
      <c r="K195" s="140" t="e">
        <f>INDEX('6. data thông tin nhân sự'!D:D,MATCH('03. Chi tiết TS các bộ phận'!H195,'6. data thông tin nhân sự'!B:B,0))</f>
        <v>#N/A</v>
      </c>
      <c r="L195" s="719"/>
      <c r="M195" s="231"/>
      <c r="N195" s="231"/>
      <c r="O195" s="156" t="s">
        <v>564</v>
      </c>
      <c r="P195" s="163"/>
      <c r="Q195" s="163"/>
      <c r="R195" s="163" t="s">
        <v>592</v>
      </c>
      <c r="S195" s="163"/>
      <c r="T195" s="163"/>
      <c r="U195" s="163"/>
      <c r="V195" s="163"/>
      <c r="W195" s="192"/>
    </row>
    <row r="196" spans="1:23" s="431" customFormat="1" ht="57" hidden="1" customHeight="1">
      <c r="A196" s="156" t="s">
        <v>322</v>
      </c>
      <c r="B196" s="163" t="s">
        <v>61</v>
      </c>
      <c r="C196" s="163"/>
      <c r="D196" s="163"/>
      <c r="E196" s="163" t="s">
        <v>295</v>
      </c>
      <c r="F196" s="139" t="s">
        <v>296</v>
      </c>
      <c r="G196" s="139">
        <v>1</v>
      </c>
      <c r="H196" s="163"/>
      <c r="I196" s="140" t="e">
        <f>INDEX('6. data thông tin nhân sự'!C:C,MATCH('03. Chi tiết TS các bộ phận'!H196,'6. data thông tin nhân sự'!B:B,0))</f>
        <v>#N/A</v>
      </c>
      <c r="J196" s="140" t="e">
        <f>INDEX('6. data thông tin nhân sự'!G:G,MATCH('03. Chi tiết TS các bộ phận'!H196,'6. data thông tin nhân sự'!B:B,0))</f>
        <v>#N/A</v>
      </c>
      <c r="K196" s="140" t="e">
        <f>INDEX('6. data thông tin nhân sự'!D:D,MATCH('03. Chi tiết TS các bộ phận'!H196,'6. data thông tin nhân sự'!B:B,0))</f>
        <v>#N/A</v>
      </c>
      <c r="L196" s="719"/>
      <c r="M196" s="231"/>
      <c r="N196" s="231"/>
      <c r="O196" s="156" t="s">
        <v>564</v>
      </c>
      <c r="P196" s="163"/>
      <c r="Q196" s="163"/>
      <c r="R196" s="163" t="s">
        <v>592</v>
      </c>
      <c r="S196" s="163"/>
      <c r="T196" s="163"/>
      <c r="U196" s="163"/>
      <c r="V196" s="163"/>
      <c r="W196" s="192"/>
    </row>
    <row r="197" spans="1:23" s="431" customFormat="1" ht="57" hidden="1" customHeight="1">
      <c r="A197" s="163" t="s">
        <v>595</v>
      </c>
      <c r="B197" s="163" t="s">
        <v>81</v>
      </c>
      <c r="C197" s="163"/>
      <c r="D197" s="163" t="s">
        <v>596</v>
      </c>
      <c r="E197" s="163" t="s">
        <v>295</v>
      </c>
      <c r="F197" s="139" t="s">
        <v>346</v>
      </c>
      <c r="G197" s="139">
        <v>1</v>
      </c>
      <c r="H197" s="163"/>
      <c r="I197" s="140" t="e">
        <f>INDEX('6. data thông tin nhân sự'!C:C,MATCH('03. Chi tiết TS các bộ phận'!H197,'6. data thông tin nhân sự'!B:B,0))</f>
        <v>#N/A</v>
      </c>
      <c r="J197" s="140" t="e">
        <f>INDEX('6. data thông tin nhân sự'!G:G,MATCH('03. Chi tiết TS các bộ phận'!H197,'6. data thông tin nhân sự'!B:B,0))</f>
        <v>#N/A</v>
      </c>
      <c r="K197" s="140" t="e">
        <f>INDEX('6. data thông tin nhân sự'!D:D,MATCH('03. Chi tiết TS các bộ phận'!H197,'6. data thông tin nhân sự'!B:B,0))</f>
        <v>#N/A</v>
      </c>
      <c r="L197" s="719"/>
      <c r="M197" s="231"/>
      <c r="N197" s="231"/>
      <c r="O197" s="156" t="s">
        <v>564</v>
      </c>
      <c r="P197" s="163"/>
      <c r="Q197" s="163"/>
      <c r="R197" s="163" t="s">
        <v>592</v>
      </c>
      <c r="S197" s="163"/>
      <c r="T197" s="163"/>
      <c r="U197" s="163"/>
      <c r="V197" s="163"/>
      <c r="W197" s="192"/>
    </row>
    <row r="198" spans="1:23" s="431" customFormat="1" ht="57" hidden="1" customHeight="1">
      <c r="A198" s="163" t="s">
        <v>597</v>
      </c>
      <c r="B198" s="163" t="s">
        <v>81</v>
      </c>
      <c r="C198" s="163"/>
      <c r="D198" s="163" t="s">
        <v>596</v>
      </c>
      <c r="E198" s="163" t="s">
        <v>295</v>
      </c>
      <c r="F198" s="139" t="s">
        <v>346</v>
      </c>
      <c r="G198" s="139">
        <v>1</v>
      </c>
      <c r="H198" s="163"/>
      <c r="I198" s="140" t="e">
        <f>INDEX('6. data thông tin nhân sự'!C:C,MATCH('03. Chi tiết TS các bộ phận'!H198,'6. data thông tin nhân sự'!B:B,0))</f>
        <v>#N/A</v>
      </c>
      <c r="J198" s="140" t="e">
        <f>INDEX('6. data thông tin nhân sự'!G:G,MATCH('03. Chi tiết TS các bộ phận'!H198,'6. data thông tin nhân sự'!B:B,0))</f>
        <v>#N/A</v>
      </c>
      <c r="K198" s="140" t="e">
        <f>INDEX('6. data thông tin nhân sự'!D:D,MATCH('03. Chi tiết TS các bộ phận'!H198,'6. data thông tin nhân sự'!B:B,0))</f>
        <v>#N/A</v>
      </c>
      <c r="L198" s="529"/>
      <c r="M198" s="231"/>
      <c r="N198" s="231"/>
      <c r="O198" s="156" t="s">
        <v>564</v>
      </c>
      <c r="P198" s="163"/>
      <c r="Q198" s="163"/>
      <c r="R198" s="163" t="s">
        <v>592</v>
      </c>
      <c r="S198" s="163"/>
      <c r="T198" s="163"/>
      <c r="U198" s="163"/>
      <c r="V198" s="163"/>
      <c r="W198" s="192"/>
    </row>
    <row r="199" spans="1:23" s="431" customFormat="1" ht="57" hidden="1" customHeight="1">
      <c r="A199" s="156" t="s">
        <v>322</v>
      </c>
      <c r="B199" s="163" t="s">
        <v>140</v>
      </c>
      <c r="C199" s="163" t="s">
        <v>142</v>
      </c>
      <c r="D199" s="163"/>
      <c r="E199" s="163" t="s">
        <v>295</v>
      </c>
      <c r="F199" s="139" t="s">
        <v>141</v>
      </c>
      <c r="G199" s="139">
        <v>1</v>
      </c>
      <c r="H199" s="163"/>
      <c r="I199" s="140" t="e">
        <f>INDEX('6. data thông tin nhân sự'!C:C,MATCH('03. Chi tiết TS các bộ phận'!H199,'6. data thông tin nhân sự'!B:B,0))</f>
        <v>#N/A</v>
      </c>
      <c r="J199" s="140" t="e">
        <f>INDEX('6. data thông tin nhân sự'!G:G,MATCH('03. Chi tiết TS các bộ phận'!H199,'6. data thông tin nhân sự'!B:B,0))</f>
        <v>#N/A</v>
      </c>
      <c r="K199" s="140" t="e">
        <f>INDEX('6. data thông tin nhân sự'!D:D,MATCH('03. Chi tiết TS các bộ phận'!H199,'6. data thông tin nhân sự'!B:B,0))</f>
        <v>#N/A</v>
      </c>
      <c r="L199" s="529"/>
      <c r="M199" s="231"/>
      <c r="N199" s="231"/>
      <c r="O199" s="156" t="s">
        <v>564</v>
      </c>
      <c r="P199" s="574" t="s">
        <v>121</v>
      </c>
      <c r="Q199" s="163" t="s">
        <v>598</v>
      </c>
      <c r="R199" s="164" t="s">
        <v>599</v>
      </c>
      <c r="S199" s="163"/>
      <c r="T199" s="163"/>
      <c r="U199" s="163"/>
      <c r="V199" s="163"/>
      <c r="W199" s="192"/>
    </row>
    <row r="200" spans="1:23" ht="36" hidden="1" customHeight="1">
      <c r="A200" s="163" t="s">
        <v>204</v>
      </c>
      <c r="B200" s="163" t="s">
        <v>77</v>
      </c>
      <c r="C200" s="163"/>
      <c r="D200" s="252" t="s">
        <v>600</v>
      </c>
      <c r="E200" s="163" t="s">
        <v>295</v>
      </c>
      <c r="F200" s="139" t="s">
        <v>296</v>
      </c>
      <c r="G200" s="139">
        <v>1</v>
      </c>
      <c r="H200" s="163"/>
      <c r="I200" s="140" t="e">
        <f>INDEX('6. data thông tin nhân sự'!C:C,MATCH('03. Chi tiết TS các bộ phận'!H200,'6. data thông tin nhân sự'!B:B,0))</f>
        <v>#N/A</v>
      </c>
      <c r="J200" s="140" t="e">
        <f>INDEX('6. data thông tin nhân sự'!G:G,MATCH('03. Chi tiết TS các bộ phận'!H200,'6. data thông tin nhân sự'!B:B,0))</f>
        <v>#N/A</v>
      </c>
      <c r="K200" s="140" t="e">
        <f>INDEX('6. data thông tin nhân sự'!D:D,MATCH('03. Chi tiết TS các bộ phận'!H200,'6. data thông tin nhân sự'!B:B,0))</f>
        <v>#N/A</v>
      </c>
      <c r="L200" s="529"/>
      <c r="M200" s="231"/>
      <c r="N200" s="231"/>
      <c r="O200" s="156" t="s">
        <v>564</v>
      </c>
      <c r="P200" s="149"/>
      <c r="Q200" s="149"/>
      <c r="R200" s="179" t="s">
        <v>601</v>
      </c>
      <c r="S200" s="149"/>
      <c r="T200" s="149"/>
      <c r="U200" s="149"/>
      <c r="V200" s="149"/>
    </row>
    <row r="201" spans="1:23" ht="36" hidden="1" customHeight="1">
      <c r="A201" s="163" t="s">
        <v>602</v>
      </c>
      <c r="B201" s="163" t="s">
        <v>78</v>
      </c>
      <c r="C201" s="163" t="s">
        <v>299</v>
      </c>
      <c r="D201" s="163"/>
      <c r="E201" s="163" t="s">
        <v>295</v>
      </c>
      <c r="F201" s="139" t="s">
        <v>296</v>
      </c>
      <c r="G201" s="139">
        <v>1</v>
      </c>
      <c r="H201" s="163"/>
      <c r="I201" s="140" t="e">
        <f>INDEX('6. data thông tin nhân sự'!C:C,MATCH('03. Chi tiết TS các bộ phận'!H201,'6. data thông tin nhân sự'!B:B,0))</f>
        <v>#N/A</v>
      </c>
      <c r="J201" s="140" t="e">
        <f>INDEX('6. data thông tin nhân sự'!G:G,MATCH('03. Chi tiết TS các bộ phận'!H201,'6. data thông tin nhân sự'!B:B,0))</f>
        <v>#N/A</v>
      </c>
      <c r="K201" s="140" t="e">
        <f>INDEX('6. data thông tin nhân sự'!D:D,MATCH('03. Chi tiết TS các bộ phận'!H201,'6. data thông tin nhân sự'!B:B,0))</f>
        <v>#N/A</v>
      </c>
      <c r="L201" s="529"/>
      <c r="M201" s="231"/>
      <c r="N201" s="231"/>
      <c r="O201" s="156" t="s">
        <v>564</v>
      </c>
      <c r="P201" s="149"/>
      <c r="Q201" s="149"/>
      <c r="R201" s="179" t="s">
        <v>603</v>
      </c>
      <c r="S201" s="149" t="s">
        <v>601</v>
      </c>
      <c r="T201" s="149"/>
      <c r="U201" s="149"/>
      <c r="V201" s="149"/>
    </row>
    <row r="202" spans="1:23" ht="22.5" hidden="1" customHeight="1">
      <c r="A202" s="163" t="s">
        <v>604</v>
      </c>
      <c r="B202" s="163" t="s">
        <v>78</v>
      </c>
      <c r="C202" s="163" t="s">
        <v>299</v>
      </c>
      <c r="D202" s="163"/>
      <c r="E202" s="163" t="s">
        <v>564</v>
      </c>
      <c r="F202" s="139" t="s">
        <v>296</v>
      </c>
      <c r="G202" s="139">
        <v>1</v>
      </c>
      <c r="H202" s="163"/>
      <c r="I202" s="140" t="e">
        <f>INDEX('6. data thông tin nhân sự'!C:C,MATCH('03. Chi tiết TS các bộ phận'!H202,'6. data thông tin nhân sự'!B:B,0))</f>
        <v>#N/A</v>
      </c>
      <c r="J202" s="140" t="e">
        <f>INDEX('6. data thông tin nhân sự'!G:G,MATCH('03. Chi tiết TS các bộ phận'!H202,'6. data thông tin nhân sự'!B:B,0))</f>
        <v>#N/A</v>
      </c>
      <c r="K202" s="140" t="e">
        <f>INDEX('6. data thông tin nhân sự'!D:D,MATCH('03. Chi tiết TS các bộ phận'!H202,'6. data thông tin nhân sự'!B:B,0))</f>
        <v>#N/A</v>
      </c>
      <c r="L202" s="139" t="s">
        <v>605</v>
      </c>
      <c r="M202" s="231">
        <v>46202</v>
      </c>
      <c r="N202" s="231" t="e">
        <f>INDEX('6. data thông tin nhân sự'!N:N, MATCH('03. Chi tiết TS các bộ phận'!H202, '6. data thông tin nhân sự'!B:B,0))</f>
        <v>#N/A</v>
      </c>
      <c r="O202" s="156" t="s">
        <v>564</v>
      </c>
      <c r="P202" s="163"/>
      <c r="Q202" s="163"/>
      <c r="R202" s="163"/>
      <c r="S202" s="163"/>
      <c r="T202" s="163"/>
      <c r="U202" s="163"/>
      <c r="V202" s="163"/>
      <c r="W202" s="155"/>
    </row>
  </sheetData>
  <autoFilter ref="A5:W202" xr:uid="{54A03823-7884-41E2-AD16-6E3DD4D89845}">
    <filterColumn colId="1">
      <filters>
        <filter val="Chuột"/>
      </filters>
    </filterColumn>
  </autoFilter>
  <mergeCells count="50">
    <mergeCell ref="P23:P25"/>
    <mergeCell ref="L7:L10"/>
    <mergeCell ref="L159:L161"/>
    <mergeCell ref="L133:L136"/>
    <mergeCell ref="L137:L140"/>
    <mergeCell ref="L124:L127"/>
    <mergeCell ref="P71:P72"/>
    <mergeCell ref="P115:P118"/>
    <mergeCell ref="M115:M118"/>
    <mergeCell ref="L82:L85"/>
    <mergeCell ref="L87:L88"/>
    <mergeCell ref="L89:L91"/>
    <mergeCell ref="L78:L81"/>
    <mergeCell ref="L95:L98"/>
    <mergeCell ref="L99:L102"/>
    <mergeCell ref="L103:L105"/>
    <mergeCell ref="C1:U1"/>
    <mergeCell ref="L11:L14"/>
    <mergeCell ref="L15:L18"/>
    <mergeCell ref="Q12:Q13"/>
    <mergeCell ref="Q8:Q9"/>
    <mergeCell ref="P8:P9"/>
    <mergeCell ref="P12:P13"/>
    <mergeCell ref="P15:P17"/>
    <mergeCell ref="L193:L197"/>
    <mergeCell ref="L120:L123"/>
    <mergeCell ref="L147:L150"/>
    <mergeCell ref="L115:L118"/>
    <mergeCell ref="L128:L132"/>
    <mergeCell ref="L154:L157"/>
    <mergeCell ref="A2:G3"/>
    <mergeCell ref="L26:L30"/>
    <mergeCell ref="L19:L25"/>
    <mergeCell ref="L49:L52"/>
    <mergeCell ref="L56:L57"/>
    <mergeCell ref="L31:L33"/>
    <mergeCell ref="L42:L45"/>
    <mergeCell ref="L37:L41"/>
    <mergeCell ref="L46:L47"/>
    <mergeCell ref="L53:L55"/>
    <mergeCell ref="L110:L114"/>
    <mergeCell ref="L106:L109"/>
    <mergeCell ref="L92:L94"/>
    <mergeCell ref="L58:L60"/>
    <mergeCell ref="L61:L64"/>
    <mergeCell ref="L65:L66"/>
    <mergeCell ref="L68:L70"/>
    <mergeCell ref="L75:L77"/>
    <mergeCell ref="L71:L72"/>
    <mergeCell ref="L73:L74"/>
  </mergeCells>
  <conditionalFormatting sqref="B1">
    <cfRule type="duplicateValues" dxfId="29" priority="4"/>
    <cfRule type="duplicateValues" dxfId="28" priority="5"/>
  </conditionalFormatting>
  <conditionalFormatting sqref="B6">
    <cfRule type="duplicateValues" dxfId="27" priority="22"/>
    <cfRule type="duplicateValues" dxfId="26" priority="24"/>
  </conditionalFormatting>
  <conditionalFormatting sqref="B36">
    <cfRule type="duplicateValues" dxfId="25" priority="19"/>
    <cfRule type="duplicateValues" dxfId="24" priority="21"/>
  </conditionalFormatting>
  <conditionalFormatting sqref="B48">
    <cfRule type="duplicateValues" dxfId="23" priority="16"/>
    <cfRule type="duplicateValues" dxfId="22" priority="18"/>
  </conditionalFormatting>
  <conditionalFormatting sqref="B67">
    <cfRule type="duplicateValues" dxfId="21" priority="25"/>
    <cfRule type="duplicateValues" dxfId="20" priority="26"/>
  </conditionalFormatting>
  <conditionalFormatting sqref="B86">
    <cfRule type="duplicateValues" dxfId="19" priority="13"/>
    <cfRule type="duplicateValues" dxfId="18" priority="14"/>
  </conditionalFormatting>
  <conditionalFormatting sqref="B119">
    <cfRule type="duplicateValues" dxfId="17" priority="10"/>
    <cfRule type="duplicateValues" dxfId="16" priority="11"/>
  </conditionalFormatting>
  <conditionalFormatting sqref="B145">
    <cfRule type="duplicateValues" dxfId="15" priority="7"/>
    <cfRule type="duplicateValues" dxfId="14" priority="8"/>
  </conditionalFormatting>
  <conditionalFormatting sqref="B158">
    <cfRule type="duplicateValues" dxfId="13" priority="1"/>
    <cfRule type="duplicateValues" dxfId="12" priority="2"/>
  </conditionalFormatting>
  <conditionalFormatting sqref="B164 B162">
    <cfRule type="duplicateValues" dxfId="11" priority="28"/>
    <cfRule type="duplicateValues" dxfId="10" priority="29"/>
  </conditionalFormatting>
  <conditionalFormatting sqref="C1">
    <cfRule type="duplicateValues" dxfId="9" priority="6"/>
  </conditionalFormatting>
  <conditionalFormatting sqref="C6">
    <cfRule type="duplicateValues" dxfId="8" priority="23"/>
  </conditionalFormatting>
  <conditionalFormatting sqref="C86">
    <cfRule type="duplicateValues" dxfId="7" priority="15"/>
  </conditionalFormatting>
  <conditionalFormatting sqref="C119">
    <cfRule type="duplicateValues" dxfId="6" priority="12"/>
  </conditionalFormatting>
  <conditionalFormatting sqref="C145">
    <cfRule type="duplicateValues" dxfId="5" priority="9"/>
  </conditionalFormatting>
  <conditionalFormatting sqref="C158">
    <cfRule type="duplicateValues" dxfId="4" priority="3"/>
  </conditionalFormatting>
  <conditionalFormatting sqref="C164 C162">
    <cfRule type="duplicateValues" dxfId="3" priority="30"/>
  </conditionalFormatting>
  <dataValidations count="1">
    <dataValidation allowBlank="1" showInputMessage="1" showErrorMessage="1" sqref="A157 A167:A175 A177:A184 A188:A189 N2" xr:uid="{D5EAE210-CB14-4C1C-AB7A-A12F6706DE73}"/>
  </dataValidations>
  <hyperlinks>
    <hyperlink ref="P26:P30" r:id="rId1" display="LINK" xr:uid="{3527117E-F193-479C-8BE8-2638157E4F0A}"/>
    <hyperlink ref="P12:P13" r:id="rId2" display="Phiếu BH" xr:uid="{7A65983D-E171-4B8E-A046-82AB32A1D517}"/>
    <hyperlink ref="P8:P9" r:id="rId3" display="Phiếu BH" xr:uid="{7496E23B-0288-4B8A-A1F5-8984C67DED40}"/>
    <hyperlink ref="P50" r:id="rId4" xr:uid="{09D85637-16F6-4648-86D1-91D43DD3C99E}"/>
    <hyperlink ref="P71:P72" r:id="rId5" display="Phiếu BH" xr:uid="{595500DD-6DD5-4B98-A76E-D8907DF035E2}"/>
    <hyperlink ref="P115" r:id="rId6" xr:uid="{9A391D47-C694-4B36-BFC4-C1DBADDC0757}"/>
    <hyperlink ref="P199" r:id="rId7" xr:uid="{A18B24E5-8DA7-44CB-9CF8-071A7D0DB20D}"/>
  </hyperlinks>
  <pageMargins left="0.7" right="0.7" top="0.75" bottom="0.75" header="0.3" footer="0.3"/>
  <pageSetup fitToHeight="0" orientation="portrait"/>
  <drawing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B474AC1-CA70-4CFE-B645-5511414272E5}">
          <x14:formula1>
            <xm:f>'Code Data'!$J$3:$J$6</xm:f>
          </x14:formula1>
          <xm:sqref>B1</xm:sqref>
        </x14:dataValidation>
        <x14:dataValidation type="list" allowBlank="1" showInputMessage="1" showErrorMessage="1" xr:uid="{96536085-3B86-49D5-A923-3825421425DC}">
          <x14:formula1>
            <xm:f>'Code Data'!$N$2:$N$7</xm:f>
          </x14:formula1>
          <xm:sqref>O1</xm:sqref>
        </x14:dataValidation>
        <x14:dataValidation type="list" allowBlank="1" showInputMessage="1" showErrorMessage="1" xr:uid="{AA08A787-69CA-4B32-B1DA-0A1EFF651AE0}">
          <x14:formula1>
            <xm:f>'Code Data'!$Q$1:$Q$20</xm:f>
          </x14:formula1>
          <xm:sqref>L1</xm:sqref>
        </x14:dataValidation>
        <x14:dataValidation type="list" allowBlank="1" showInputMessage="1" showErrorMessage="1" xr:uid="{7602A691-E78C-4421-8E5C-EEF24A5D6084}">
          <x14:formula1>
            <xm:f>'Code Data'!$F$3:$F$19</xm:f>
          </x14:formula1>
          <xm:sqref>B163 B159:B161 B5 B170:B173 B175:B176 B37:B47 B165:B166 B68:B85 B49:B66 H2:M2 B7:B33 B146:B157 B182:B1048576 B120:B144 B87:B118</xm:sqref>
        </x14:dataValidation>
        <x14:dataValidation type="list" allowBlank="1" showInputMessage="1" showErrorMessage="1" xr:uid="{0F8CC2E4-4424-4CFD-AC1D-919B392F0516}">
          <x14:formula1>
            <xm:f>'Code Data'!$G$3:$G$10</xm:f>
          </x14:formula1>
          <xm:sqref>O146:O157 O159:O161 O163 O37:O47 O68:O85 O87:O118 O7:O33 O49:O66 O165:O1048576 O120:O144 O2:O3 O5</xm:sqref>
        </x14:dataValidation>
        <x14:dataValidation type="list" allowBlank="1" showInputMessage="1" showErrorMessage="1" xr:uid="{B29459E9-AE99-413B-9CA4-1D37B9A2BEDF}">
          <x14:formula1>
            <xm:f>'Code Data'!$B$3:$B$21</xm:f>
          </x14:formula1>
          <xm:sqref>E159:E161 E163 E5 E37:E47 E68:E85 E49:E66 E7:E33 E87:E118 E165:E1048576 E120:E144 E146:E157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51B4-DD21-469D-9459-92531A29534E}">
  <sheetPr>
    <pageSetUpPr fitToPage="1"/>
  </sheetPr>
  <dimension ref="A1:X293"/>
  <sheetViews>
    <sheetView showGridLines="0" workbookViewId="0">
      <pane xSplit="8" ySplit="4" topLeftCell="L116" activePane="bottomRight" state="frozen"/>
      <selection pane="bottomRight" activeCell="P106" sqref="P106"/>
      <selection pane="bottomLeft"/>
      <selection pane="topRight"/>
    </sheetView>
  </sheetViews>
  <sheetFormatPr defaultColWidth="9.28515625" defaultRowHeight="14.25" customHeight="1"/>
  <cols>
    <col min="1" max="1" width="9.28515625" style="75"/>
    <col min="2" max="2" width="15.42578125" style="75" customWidth="1"/>
    <col min="3" max="3" width="20.28515625" style="75" customWidth="1"/>
    <col min="4" max="4" width="25.85546875" style="75" customWidth="1"/>
    <col min="5" max="5" width="30.85546875" style="75" customWidth="1"/>
    <col min="6" max="6" width="30.5703125" style="75" customWidth="1"/>
    <col min="7" max="8" width="10.5703125" style="95" customWidth="1"/>
    <col min="9" max="9" width="16.42578125" style="75" customWidth="1"/>
    <col min="10" max="10" width="28.7109375" style="75" customWidth="1"/>
    <col min="11" max="11" width="37.85546875" style="75" customWidth="1"/>
    <col min="12" max="13" width="19.42578125" style="75" customWidth="1"/>
    <col min="14" max="14" width="19.42578125" style="496" customWidth="1"/>
    <col min="15" max="15" width="13" style="75" customWidth="1"/>
    <col min="16" max="16" width="22.85546875" style="75" customWidth="1"/>
    <col min="17" max="17" width="19.7109375" style="75" customWidth="1"/>
    <col min="18" max="18" width="34.140625" style="75" customWidth="1"/>
    <col min="19" max="19" width="47.42578125" style="75" customWidth="1"/>
    <col min="20" max="23" width="34.42578125" style="75" customWidth="1"/>
    <col min="24" max="16384" width="9.28515625" style="75"/>
  </cols>
  <sheetData>
    <row r="1" spans="1:24" ht="81.75" customHeight="1">
      <c r="A1" s="122"/>
      <c r="B1" s="122" t="s">
        <v>606</v>
      </c>
      <c r="C1" s="123"/>
      <c r="D1" s="237" t="s">
        <v>241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</row>
    <row r="2" spans="1:24" ht="47.25" customHeight="1">
      <c r="A2" s="561"/>
      <c r="B2" s="561" t="s">
        <v>607</v>
      </c>
      <c r="C2" s="561"/>
      <c r="D2" s="561"/>
      <c r="E2" s="561"/>
      <c r="F2" s="561"/>
      <c r="G2" s="561"/>
      <c r="H2" s="565"/>
      <c r="I2" s="566" t="s">
        <v>76</v>
      </c>
      <c r="J2" s="566" t="s">
        <v>77</v>
      </c>
      <c r="K2" s="566" t="s">
        <v>78</v>
      </c>
      <c r="L2" s="566" t="s">
        <v>79</v>
      </c>
      <c r="M2" s="566" t="s">
        <v>80</v>
      </c>
      <c r="N2" s="566" t="s">
        <v>81</v>
      </c>
      <c r="O2" s="566" t="s">
        <v>271</v>
      </c>
      <c r="P2"/>
      <c r="S2" s="187" t="s">
        <v>272</v>
      </c>
    </row>
    <row r="3" spans="1:24" ht="47.25" customHeight="1">
      <c r="A3" s="561"/>
      <c r="B3" s="561"/>
      <c r="C3" s="561"/>
      <c r="D3" s="561"/>
      <c r="E3" s="561"/>
      <c r="F3" s="561"/>
      <c r="G3" s="561"/>
      <c r="H3" s="565"/>
      <c r="I3" s="585">
        <f>COUNTIF(C:C, "Laptop")</f>
        <v>7</v>
      </c>
      <c r="J3" s="585">
        <f>COUNTIF(C:C, "PC")</f>
        <v>40</v>
      </c>
      <c r="K3" s="585">
        <f>COUNTIF(C:C, "Màn hình máy tính")</f>
        <v>55</v>
      </c>
      <c r="L3" s="585">
        <f>COUNTIF(C:C, "Chuột ")</f>
        <v>36</v>
      </c>
      <c r="M3" s="585">
        <f>COUNTIF(C:C, "Bàn phím")</f>
        <v>32</v>
      </c>
      <c r="N3" s="585">
        <f>COUNTIF(C:C, "Ổ cứng")</f>
        <v>11</v>
      </c>
      <c r="O3" s="585">
        <f>COUNTIF(B:B, "khác")</f>
        <v>0</v>
      </c>
      <c r="S3" s="187"/>
    </row>
    <row r="4" spans="1:24" s="136" customFormat="1" ht="51" customHeight="1">
      <c r="A4" s="146" t="s">
        <v>85</v>
      </c>
      <c r="B4" s="146" t="s">
        <v>273</v>
      </c>
      <c r="C4" s="147" t="s">
        <v>16</v>
      </c>
      <c r="D4" s="147" t="s">
        <v>274</v>
      </c>
      <c r="E4" s="147" t="s">
        <v>87</v>
      </c>
      <c r="F4" s="147" t="s">
        <v>275</v>
      </c>
      <c r="G4" s="147" t="s">
        <v>276</v>
      </c>
      <c r="H4" s="147" t="s">
        <v>89</v>
      </c>
      <c r="I4" s="562" t="s">
        <v>608</v>
      </c>
      <c r="J4" s="562" t="s">
        <v>609</v>
      </c>
      <c r="K4" s="562" t="s">
        <v>279</v>
      </c>
      <c r="L4" s="562" t="s">
        <v>280</v>
      </c>
      <c r="M4" s="563" t="s">
        <v>281</v>
      </c>
      <c r="N4" s="564" t="s">
        <v>610</v>
      </c>
      <c r="O4" s="147" t="s">
        <v>611</v>
      </c>
      <c r="P4" s="148" t="s">
        <v>284</v>
      </c>
      <c r="Q4" s="148" t="s">
        <v>285</v>
      </c>
      <c r="R4" s="148" t="s">
        <v>104</v>
      </c>
      <c r="S4" s="188" t="s">
        <v>286</v>
      </c>
      <c r="T4" s="188" t="s">
        <v>287</v>
      </c>
      <c r="U4" s="188"/>
      <c r="V4" s="188" t="s">
        <v>288</v>
      </c>
      <c r="W4" s="188" t="s">
        <v>289</v>
      </c>
    </row>
    <row r="5" spans="1:24" s="136" customFormat="1" ht="30.75" hidden="1" customHeight="1">
      <c r="A5" s="251"/>
      <c r="B5" s="251" t="s">
        <v>612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</row>
    <row r="6" spans="1:24" s="155" customFormat="1" ht="71.25" hidden="1" customHeight="1">
      <c r="A6" s="150">
        <v>1</v>
      </c>
      <c r="B6" s="149" t="s">
        <v>358</v>
      </c>
      <c r="C6" s="149" t="s">
        <v>76</v>
      </c>
      <c r="D6" s="149" t="s">
        <v>613</v>
      </c>
      <c r="E6" s="235" t="s">
        <v>614</v>
      </c>
      <c r="F6" s="149" t="s">
        <v>615</v>
      </c>
      <c r="G6" s="150" t="s">
        <v>296</v>
      </c>
      <c r="H6" s="150">
        <v>1</v>
      </c>
      <c r="I6" s="151">
        <v>26019</v>
      </c>
      <c r="J6" s="152" t="str">
        <f>INDEX('6. data thông tin nhân sự'!C:C, MATCH('04. TH THEO LOẠI TS'!I6, '6. data thông tin nhân sự'!B:B,0))</f>
        <v>Vũ Thị Bích Ngọc</v>
      </c>
      <c r="K6" s="152" t="str">
        <f>INDEX('6. data thông tin nhân sự'!G:G, MATCH('04. TH THEO LOẠI TS'!I6, '6. data thông tin nhân sự'!B:B,0))</f>
        <v>Truyền thông - Marketing</v>
      </c>
      <c r="L6" s="151" t="str">
        <f>INDEX('6. data thông tin nhân sự'!D:D, MATCH('04. TH THEO LOẠI TS'!I6, '6. data thông tin nhân sự'!B:B,0))</f>
        <v>Chính thức</v>
      </c>
      <c r="M6" s="149"/>
      <c r="N6" s="231">
        <v>46204</v>
      </c>
      <c r="O6" s="149"/>
      <c r="P6" s="152" t="s">
        <v>298</v>
      </c>
      <c r="Q6" s="149"/>
      <c r="R6" s="149"/>
      <c r="S6" s="179" t="s">
        <v>361</v>
      </c>
      <c r="T6" s="149"/>
      <c r="U6" s="149"/>
      <c r="V6" s="149"/>
      <c r="W6" s="149"/>
    </row>
    <row r="7" spans="1:24" s="155" customFormat="1" ht="65.25" hidden="1" customHeight="1">
      <c r="A7" s="150">
        <v>2</v>
      </c>
      <c r="B7" s="149" t="s">
        <v>398</v>
      </c>
      <c r="C7" s="149" t="s">
        <v>76</v>
      </c>
      <c r="D7" s="149" t="s">
        <v>616</v>
      </c>
      <c r="E7" s="235" t="s">
        <v>617</v>
      </c>
      <c r="F7" s="149" t="s">
        <v>366</v>
      </c>
      <c r="G7" s="150" t="s">
        <v>296</v>
      </c>
      <c r="H7" s="150">
        <v>1</v>
      </c>
      <c r="I7" s="151">
        <v>25042</v>
      </c>
      <c r="J7" s="152" t="str">
        <f>INDEX('6. data thông tin nhân sự'!C:C, MATCH('04. TH THEO LOẠI TS'!I7, '6. data thông tin nhân sự'!B:B,0))</f>
        <v>Nguyễn Thị Thu Giang</v>
      </c>
      <c r="K7" s="152" t="str">
        <f>INDEX('6. data thông tin nhân sự'!G:G, MATCH('04. TH THEO LOẠI TS'!I7, '6. data thông tin nhân sự'!B:B,0))</f>
        <v>Sáng tạo - Creative</v>
      </c>
      <c r="L7" s="151" t="str">
        <f>INDEX('6. data thông tin nhân sự'!D:D, MATCH('04. TH THEO LOẠI TS'!I7, '6. data thông tin nhân sự'!B:B,0))</f>
        <v>Chính thức</v>
      </c>
      <c r="M7" s="149"/>
      <c r="N7" s="231">
        <v>46204</v>
      </c>
      <c r="O7" s="149"/>
      <c r="P7" s="152" t="s">
        <v>298</v>
      </c>
      <c r="Q7" s="149" t="s">
        <v>368</v>
      </c>
      <c r="R7" s="149"/>
      <c r="S7" s="149" t="s">
        <v>401</v>
      </c>
      <c r="T7" s="149" t="s">
        <v>402</v>
      </c>
      <c r="U7" s="179" t="s">
        <v>403</v>
      </c>
      <c r="V7" s="179" t="s">
        <v>618</v>
      </c>
      <c r="W7" s="179"/>
    </row>
    <row r="8" spans="1:24" s="155" customFormat="1" ht="65.25" hidden="1" customHeight="1">
      <c r="A8" s="150">
        <v>3</v>
      </c>
      <c r="B8" s="149" t="s">
        <v>364</v>
      </c>
      <c r="C8" s="149" t="s">
        <v>76</v>
      </c>
      <c r="D8" s="149" t="s">
        <v>619</v>
      </c>
      <c r="E8" s="235" t="s">
        <v>617</v>
      </c>
      <c r="F8" s="149" t="s">
        <v>366</v>
      </c>
      <c r="G8" s="150" t="s">
        <v>296</v>
      </c>
      <c r="H8" s="150">
        <v>1</v>
      </c>
      <c r="I8" s="151">
        <v>20003</v>
      </c>
      <c r="J8" s="152" t="str">
        <f>INDEX('6. data thông tin nhân sự'!C:C, MATCH('04. TH THEO LOẠI TS'!I8, '6. data thông tin nhân sự'!B:B,0))</f>
        <v>Nguyễn Mạnh Hoàng</v>
      </c>
      <c r="K8" s="152" t="str">
        <f>INDEX('6. data thông tin nhân sự'!G:G, MATCH('04. TH THEO LOẠI TS'!I8, '6. data thông tin nhân sự'!B:B,0))</f>
        <v>Sáng tạo - Creative</v>
      </c>
      <c r="L8" s="151" t="str">
        <f>INDEX('6. data thông tin nhân sự'!D:D, MATCH('04. TH THEO LOẠI TS'!I8, '6. data thông tin nhân sự'!B:B,0))</f>
        <v>Chính thức</v>
      </c>
      <c r="M8" s="149"/>
      <c r="N8" s="231">
        <v>46204</v>
      </c>
      <c r="O8" s="149"/>
      <c r="P8" s="152" t="s">
        <v>298</v>
      </c>
      <c r="Q8" s="149" t="s">
        <v>368</v>
      </c>
      <c r="R8" s="179" t="s">
        <v>369</v>
      </c>
      <c r="S8" s="149"/>
      <c r="T8" s="149"/>
      <c r="U8" s="179"/>
      <c r="V8" s="179"/>
      <c r="W8" s="179"/>
    </row>
    <row r="9" spans="1:24" s="155" customFormat="1" ht="65.25" hidden="1" customHeight="1">
      <c r="A9" s="150">
        <v>4</v>
      </c>
      <c r="B9" s="149" t="s">
        <v>180</v>
      </c>
      <c r="C9" s="149" t="s">
        <v>76</v>
      </c>
      <c r="D9" s="149" t="s">
        <v>620</v>
      </c>
      <c r="E9" s="235" t="s">
        <v>617</v>
      </c>
      <c r="F9" s="149" t="s">
        <v>366</v>
      </c>
      <c r="G9" s="150" t="s">
        <v>296</v>
      </c>
      <c r="H9" s="150">
        <v>1</v>
      </c>
      <c r="I9" s="151">
        <v>20003</v>
      </c>
      <c r="J9" s="152" t="str">
        <f>INDEX('6. data thông tin nhân sự'!C:C, MATCH('04. TH THEO LOẠI TS'!I9, '6. data thông tin nhân sự'!B:B,0))</f>
        <v>Nguyễn Mạnh Hoàng</v>
      </c>
      <c r="K9" s="152" t="str">
        <f>INDEX('6. data thông tin nhân sự'!G:G, MATCH('04. TH THEO LOẠI TS'!I9, '6. data thông tin nhân sự'!B:B,0))</f>
        <v>Sáng tạo - Creative</v>
      </c>
      <c r="L9" s="151" t="str">
        <f>INDEX('6. data thông tin nhân sự'!D:D, MATCH('04. TH THEO LOẠI TS'!I9, '6. data thông tin nhân sự'!B:B,0))</f>
        <v>Chính thức</v>
      </c>
      <c r="M9" s="149" t="s">
        <v>621</v>
      </c>
      <c r="N9" s="231">
        <v>46204</v>
      </c>
      <c r="O9" s="149"/>
      <c r="P9" s="152" t="s">
        <v>298</v>
      </c>
      <c r="Q9" s="149" t="s">
        <v>368</v>
      </c>
      <c r="R9" s="179" t="s">
        <v>371</v>
      </c>
      <c r="S9" s="149" t="s">
        <v>372</v>
      </c>
      <c r="T9" s="149"/>
      <c r="U9" s="179"/>
      <c r="V9" s="179"/>
      <c r="W9" s="179"/>
    </row>
    <row r="10" spans="1:24" s="155" customFormat="1" ht="65.25" hidden="1" customHeight="1">
      <c r="A10" s="150">
        <v>5</v>
      </c>
      <c r="B10" s="163" t="s">
        <v>411</v>
      </c>
      <c r="C10" s="163" t="s">
        <v>76</v>
      </c>
      <c r="D10" s="163" t="s">
        <v>412</v>
      </c>
      <c r="E10" s="252" t="s">
        <v>413</v>
      </c>
      <c r="F10" s="163" t="s">
        <v>622</v>
      </c>
      <c r="G10" s="150" t="s">
        <v>296</v>
      </c>
      <c r="H10" s="150">
        <v>1</v>
      </c>
      <c r="I10" s="151">
        <v>24001</v>
      </c>
      <c r="J10" s="152" t="str">
        <f>INDEX('6. data thông tin nhân sự'!C:C, MATCH('04. TH THEO LOẠI TS'!I10, '6. data thông tin nhân sự'!B:B,0))</f>
        <v>Lê Lâm Cường</v>
      </c>
      <c r="K10" s="152" t="str">
        <f>INDEX('6. data thông tin nhân sự'!G:G, MATCH('04. TH THEO LOẠI TS'!I10, '6. data thông tin nhân sự'!B:B,0))</f>
        <v>Sự kiện - Event</v>
      </c>
      <c r="L10" s="151" t="str">
        <f>INDEX('6. data thông tin nhân sự'!D:D, MATCH('04. TH THEO LOẠI TS'!I10, '6. data thông tin nhân sự'!B:B,0))</f>
        <v xml:space="preserve">Nghỉ việc </v>
      </c>
      <c r="M10" s="149"/>
      <c r="N10" s="231">
        <v>46204</v>
      </c>
      <c r="O10" s="149"/>
      <c r="P10" s="152" t="s">
        <v>298</v>
      </c>
      <c r="Q10" s="149" t="s">
        <v>368</v>
      </c>
      <c r="R10" s="179" t="s">
        <v>414</v>
      </c>
      <c r="S10" s="149"/>
      <c r="T10" s="149"/>
      <c r="U10" s="179"/>
      <c r="V10" s="179"/>
      <c r="W10" s="179"/>
    </row>
    <row r="11" spans="1:24" s="155" customFormat="1" ht="65.25" hidden="1" customHeight="1">
      <c r="A11" s="150">
        <v>6</v>
      </c>
      <c r="B11" s="163" t="s">
        <v>584</v>
      </c>
      <c r="C11" s="163" t="s">
        <v>76</v>
      </c>
      <c r="D11" s="163" t="s">
        <v>585</v>
      </c>
      <c r="E11" s="252" t="s">
        <v>586</v>
      </c>
      <c r="F11" s="163" t="s">
        <v>564</v>
      </c>
      <c r="G11" s="139" t="s">
        <v>296</v>
      </c>
      <c r="H11" s="139">
        <v>1</v>
      </c>
      <c r="I11" s="151"/>
      <c r="J11" s="152"/>
      <c r="K11" s="152"/>
      <c r="L11" s="151"/>
      <c r="M11" s="163"/>
      <c r="N11" s="231"/>
      <c r="O11" s="163"/>
      <c r="P11" s="156" t="s">
        <v>564</v>
      </c>
      <c r="Q11" s="163" t="s">
        <v>368</v>
      </c>
      <c r="R11" s="164" t="s">
        <v>587</v>
      </c>
      <c r="S11" s="163" t="s">
        <v>401</v>
      </c>
      <c r="T11" s="163" t="s">
        <v>402</v>
      </c>
      <c r="U11" s="164" t="s">
        <v>588</v>
      </c>
      <c r="V11" s="164" t="s">
        <v>403</v>
      </c>
      <c r="W11" s="229" t="s">
        <v>623</v>
      </c>
    </row>
    <row r="12" spans="1:24" s="155" customFormat="1" ht="65.25" hidden="1" customHeight="1">
      <c r="A12" s="150">
        <v>7</v>
      </c>
      <c r="B12" s="163" t="s">
        <v>225</v>
      </c>
      <c r="C12" s="163" t="s">
        <v>76</v>
      </c>
      <c r="D12" s="163" t="s">
        <v>624</v>
      </c>
      <c r="E12" s="252" t="s">
        <v>625</v>
      </c>
      <c r="F12" s="163" t="s">
        <v>366</v>
      </c>
      <c r="G12" s="139" t="s">
        <v>296</v>
      </c>
      <c r="H12" s="139">
        <v>1</v>
      </c>
      <c r="I12" s="151">
        <v>21003</v>
      </c>
      <c r="J12" s="152" t="str">
        <f>INDEX('6. data thông tin nhân sự'!C:C, MATCH('04. TH THEO LOẠI TS'!I12, '6. data thông tin nhân sự'!B:B,0))</f>
        <v>Đặng Đức Hoàng</v>
      </c>
      <c r="K12" s="152" t="str">
        <f>INDEX('6. data thông tin nhân sự'!G:G, MATCH('04. TH THEO LOẠI TS'!I12, '6. data thông tin nhân sự'!B:B,0))</f>
        <v>Sáng tạo - Creative</v>
      </c>
      <c r="L12" s="151" t="str">
        <f>INDEX('6. data thông tin nhân sự'!D:D, MATCH('04. TH THEO LOẠI TS'!I12, '6. data thông tin nhân sự'!B:B,0))</f>
        <v>Chính thức</v>
      </c>
      <c r="M12" s="163"/>
      <c r="N12" s="427">
        <v>46231</v>
      </c>
      <c r="O12" s="163"/>
      <c r="P12" s="152" t="s">
        <v>298</v>
      </c>
      <c r="Q12" s="163"/>
      <c r="R12" s="164" t="s">
        <v>626</v>
      </c>
      <c r="S12" s="163"/>
      <c r="T12" s="163"/>
      <c r="U12" s="164"/>
      <c r="V12" s="164"/>
      <c r="W12" s="229"/>
    </row>
    <row r="13" spans="1:24" s="155" customFormat="1" ht="32.25" hidden="1" customHeight="1">
      <c r="A13" s="251"/>
      <c r="B13" s="251" t="s">
        <v>627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136"/>
    </row>
    <row r="14" spans="1:24" s="155" customFormat="1" ht="65.25" hidden="1" customHeight="1">
      <c r="A14" s="139">
        <v>1</v>
      </c>
      <c r="B14" s="163" t="s">
        <v>595</v>
      </c>
      <c r="C14" s="149" t="s">
        <v>81</v>
      </c>
      <c r="D14" s="149"/>
      <c r="E14" s="235" t="s">
        <v>628</v>
      </c>
      <c r="F14" s="149" t="s">
        <v>295</v>
      </c>
      <c r="G14" s="150" t="s">
        <v>346</v>
      </c>
      <c r="H14" s="150">
        <v>1</v>
      </c>
      <c r="I14" s="151"/>
      <c r="J14" s="152"/>
      <c r="K14" s="151" t="s">
        <v>629</v>
      </c>
      <c r="L14" s="151" t="e">
        <f>INDEX('6. data thông tin nhân sự'!D:D, MATCH('04. TH THEO LOẠI TS'!I14, '6. data thông tin nhân sự'!B:B,0))</f>
        <v>#N/A</v>
      </c>
      <c r="M14" s="149"/>
      <c r="N14" s="231">
        <v>46204</v>
      </c>
      <c r="O14" s="149"/>
      <c r="P14" s="156" t="s">
        <v>564</v>
      </c>
      <c r="Q14" s="149"/>
      <c r="R14" s="179"/>
      <c r="S14" s="149"/>
      <c r="T14" s="149"/>
      <c r="U14" s="149"/>
      <c r="V14" s="149"/>
      <c r="W14" s="149"/>
    </row>
    <row r="15" spans="1:24" s="155" customFormat="1" ht="65.25" hidden="1" customHeight="1">
      <c r="A15" s="139">
        <v>2</v>
      </c>
      <c r="B15" s="163" t="s">
        <v>597</v>
      </c>
      <c r="C15" s="149" t="s">
        <v>81</v>
      </c>
      <c r="D15" s="149"/>
      <c r="E15" s="235" t="s">
        <v>630</v>
      </c>
      <c r="F15" s="149" t="s">
        <v>295</v>
      </c>
      <c r="G15" s="150" t="s">
        <v>346</v>
      </c>
      <c r="H15" s="150">
        <v>1</v>
      </c>
      <c r="I15" s="151"/>
      <c r="J15" s="152"/>
      <c r="K15" s="151" t="s">
        <v>629</v>
      </c>
      <c r="L15" s="151" t="e">
        <f>INDEX('6. data thông tin nhân sự'!D:D, MATCH('04. TH THEO LOẠI TS'!I15, '6. data thông tin nhân sự'!B:B,0))</f>
        <v>#N/A</v>
      </c>
      <c r="M15" s="149"/>
      <c r="N15" s="231">
        <v>46204</v>
      </c>
      <c r="O15" s="149"/>
      <c r="P15" s="156" t="s">
        <v>564</v>
      </c>
      <c r="Q15" s="149"/>
      <c r="R15" s="149"/>
      <c r="S15" s="149"/>
      <c r="T15" s="149"/>
      <c r="U15" s="149"/>
      <c r="V15" s="149"/>
      <c r="W15" s="149"/>
    </row>
    <row r="16" spans="1:24" s="155" customFormat="1" ht="65.25" hidden="1" customHeight="1">
      <c r="A16" s="139">
        <v>3</v>
      </c>
      <c r="B16" s="170" t="s">
        <v>573</v>
      </c>
      <c r="C16" s="170" t="s">
        <v>81</v>
      </c>
      <c r="D16" s="170"/>
      <c r="E16" s="191" t="s">
        <v>380</v>
      </c>
      <c r="F16" s="170" t="s">
        <v>534</v>
      </c>
      <c r="G16" s="190" t="s">
        <v>346</v>
      </c>
      <c r="H16" s="190">
        <v>1</v>
      </c>
      <c r="I16" s="170"/>
      <c r="J16" s="170"/>
      <c r="K16" s="170"/>
      <c r="L16" s="170"/>
      <c r="M16" s="170"/>
      <c r="N16" s="497"/>
      <c r="O16" s="170"/>
      <c r="P16" s="156" t="s">
        <v>564</v>
      </c>
      <c r="Q16" s="170"/>
      <c r="R16" s="170" t="s">
        <v>574</v>
      </c>
      <c r="S16" s="191" t="s">
        <v>575</v>
      </c>
      <c r="T16" s="170"/>
      <c r="U16" s="170"/>
      <c r="V16" s="170"/>
      <c r="W16" s="170"/>
    </row>
    <row r="17" spans="1:23" s="155" customFormat="1" ht="65.25" hidden="1" customHeight="1">
      <c r="A17" s="139">
        <v>4</v>
      </c>
      <c r="B17" s="170" t="s">
        <v>576</v>
      </c>
      <c r="C17" s="170" t="s">
        <v>81</v>
      </c>
      <c r="D17" s="170"/>
      <c r="E17" s="191" t="s">
        <v>380</v>
      </c>
      <c r="F17" s="170" t="s">
        <v>534</v>
      </c>
      <c r="G17" s="190" t="s">
        <v>346</v>
      </c>
      <c r="H17" s="190">
        <v>1</v>
      </c>
      <c r="I17" s="170"/>
      <c r="J17" s="170"/>
      <c r="K17" s="170"/>
      <c r="L17" s="170"/>
      <c r="M17" s="170"/>
      <c r="N17" s="497"/>
      <c r="O17" s="170"/>
      <c r="P17" s="156" t="s">
        <v>564</v>
      </c>
      <c r="Q17" s="170"/>
      <c r="R17" s="170"/>
      <c r="S17" s="191" t="s">
        <v>575</v>
      </c>
      <c r="T17" s="170"/>
      <c r="U17" s="170"/>
      <c r="V17" s="170"/>
      <c r="W17" s="170"/>
    </row>
    <row r="18" spans="1:23" s="155" customFormat="1" ht="65.25" hidden="1" customHeight="1">
      <c r="A18" s="139">
        <v>5</v>
      </c>
      <c r="B18" s="170" t="s">
        <v>577</v>
      </c>
      <c r="C18" s="170" t="s">
        <v>81</v>
      </c>
      <c r="D18" s="170"/>
      <c r="E18" s="191" t="s">
        <v>380</v>
      </c>
      <c r="F18" s="170" t="s">
        <v>534</v>
      </c>
      <c r="G18" s="190" t="s">
        <v>346</v>
      </c>
      <c r="H18" s="190">
        <v>1</v>
      </c>
      <c r="I18" s="170"/>
      <c r="J18" s="170"/>
      <c r="K18" s="170"/>
      <c r="L18" s="170"/>
      <c r="M18" s="170"/>
      <c r="N18" s="497"/>
      <c r="O18" s="170"/>
      <c r="P18" s="156" t="s">
        <v>564</v>
      </c>
      <c r="Q18" s="170"/>
      <c r="R18" s="170"/>
      <c r="S18" s="191" t="s">
        <v>575</v>
      </c>
      <c r="T18" s="170"/>
      <c r="U18" s="170"/>
      <c r="V18" s="170"/>
      <c r="W18" s="170"/>
    </row>
    <row r="19" spans="1:23" s="155" customFormat="1" ht="65.25" hidden="1" customHeight="1">
      <c r="A19" s="139">
        <v>6</v>
      </c>
      <c r="B19" s="163" t="s">
        <v>169</v>
      </c>
      <c r="C19" s="149" t="s">
        <v>81</v>
      </c>
      <c r="D19" s="149"/>
      <c r="E19" s="235" t="s">
        <v>631</v>
      </c>
      <c r="F19" s="149" t="s">
        <v>373</v>
      </c>
      <c r="G19" s="150" t="s">
        <v>346</v>
      </c>
      <c r="H19" s="150">
        <v>1</v>
      </c>
      <c r="I19" s="151">
        <v>20003</v>
      </c>
      <c r="J19" s="151" t="s">
        <v>632</v>
      </c>
      <c r="K19" s="151" t="s">
        <v>633</v>
      </c>
      <c r="L19" s="151" t="str">
        <f>INDEX('6. data thông tin nhân sự'!D:D, MATCH('04. TH THEO LOẠI TS'!I19, '6. data thông tin nhân sự'!B:B,0))</f>
        <v>Chính thức</v>
      </c>
      <c r="M19" s="149"/>
      <c r="N19" s="231">
        <v>46204</v>
      </c>
      <c r="O19" s="149"/>
      <c r="P19" s="152" t="s">
        <v>298</v>
      </c>
      <c r="Q19" s="149"/>
      <c r="R19" s="149"/>
      <c r="S19" s="149"/>
      <c r="T19" s="149"/>
      <c r="U19" s="149"/>
      <c r="V19" s="149"/>
      <c r="W19" s="149"/>
    </row>
    <row r="20" spans="1:23" s="155" customFormat="1" ht="65.25" hidden="1" customHeight="1">
      <c r="A20" s="139">
        <v>7</v>
      </c>
      <c r="B20" s="163" t="s">
        <v>343</v>
      </c>
      <c r="C20" s="149" t="s">
        <v>81</v>
      </c>
      <c r="D20" s="149"/>
      <c r="E20" s="235" t="s">
        <v>634</v>
      </c>
      <c r="F20" s="149" t="s">
        <v>345</v>
      </c>
      <c r="G20" s="150" t="s">
        <v>346</v>
      </c>
      <c r="H20" s="150">
        <v>1</v>
      </c>
      <c r="I20" s="151">
        <v>20002</v>
      </c>
      <c r="J20" s="151" t="s">
        <v>195</v>
      </c>
      <c r="K20" s="151" t="s">
        <v>635</v>
      </c>
      <c r="L20" s="151" t="str">
        <f>INDEX('6. data thông tin nhân sự'!D:D, MATCH('04. TH THEO LOẠI TS'!I20, '6. data thông tin nhân sự'!B:B,0))</f>
        <v>Chính thức</v>
      </c>
      <c r="M20" s="149"/>
      <c r="N20" s="231">
        <v>46204</v>
      </c>
      <c r="O20" s="149"/>
      <c r="P20" s="152" t="s">
        <v>298</v>
      </c>
      <c r="Q20" s="149"/>
      <c r="R20" s="149"/>
      <c r="S20" s="179" t="s">
        <v>348</v>
      </c>
      <c r="T20" s="149"/>
      <c r="U20" s="149"/>
      <c r="V20" s="149"/>
      <c r="W20" s="149"/>
    </row>
    <row r="21" spans="1:23" s="155" customFormat="1" ht="65.25" hidden="1" customHeight="1">
      <c r="A21" s="139">
        <v>8</v>
      </c>
      <c r="B21" s="163" t="s">
        <v>157</v>
      </c>
      <c r="C21" s="149" t="s">
        <v>81</v>
      </c>
      <c r="D21" s="149" t="s">
        <v>379</v>
      </c>
      <c r="E21" s="179" t="s">
        <v>380</v>
      </c>
      <c r="F21" s="149" t="s">
        <v>373</v>
      </c>
      <c r="G21" s="150" t="s">
        <v>346</v>
      </c>
      <c r="H21" s="150">
        <v>1</v>
      </c>
      <c r="I21" s="151">
        <v>21003</v>
      </c>
      <c r="J21" s="151" t="s">
        <v>161</v>
      </c>
      <c r="K21" s="151" t="s">
        <v>633</v>
      </c>
      <c r="L21" s="151" t="str">
        <f>INDEX('6. data thông tin nhân sự'!D:D, MATCH('04. TH THEO LOẠI TS'!I21, '6. data thông tin nhân sự'!B:B,0))</f>
        <v>Chính thức</v>
      </c>
      <c r="M21" s="149"/>
      <c r="N21" s="231">
        <v>46204</v>
      </c>
      <c r="O21" s="149"/>
      <c r="P21" s="152" t="s">
        <v>298</v>
      </c>
      <c r="Q21" s="149"/>
      <c r="R21" s="179" t="s">
        <v>636</v>
      </c>
      <c r="S21" s="149"/>
      <c r="T21" s="149"/>
      <c r="U21" s="149"/>
      <c r="V21" s="149"/>
      <c r="W21" s="149"/>
    </row>
    <row r="22" spans="1:23" s="155" customFormat="1" ht="65.25" hidden="1" customHeight="1">
      <c r="A22" s="139">
        <v>9</v>
      </c>
      <c r="B22" s="163" t="s">
        <v>163</v>
      </c>
      <c r="C22" s="149" t="s">
        <v>81</v>
      </c>
      <c r="D22" s="149" t="s">
        <v>512</v>
      </c>
      <c r="E22" s="235" t="s">
        <v>631</v>
      </c>
      <c r="F22" s="149" t="s">
        <v>492</v>
      </c>
      <c r="G22" s="150" t="s">
        <v>346</v>
      </c>
      <c r="H22" s="150">
        <v>1</v>
      </c>
      <c r="I22" s="151">
        <v>25039</v>
      </c>
      <c r="J22" s="151" t="s">
        <v>164</v>
      </c>
      <c r="K22" s="151" t="s">
        <v>637</v>
      </c>
      <c r="L22" s="151" t="str">
        <f>INDEX('6. data thông tin nhân sự'!D:D, MATCH('04. TH THEO LOẠI TS'!I22, '6. data thông tin nhân sự'!B:B,0))</f>
        <v>Chính thức</v>
      </c>
      <c r="M22" s="149"/>
      <c r="N22" s="231">
        <v>46204</v>
      </c>
      <c r="O22" s="149"/>
      <c r="P22" s="152" t="s">
        <v>298</v>
      </c>
      <c r="Q22" s="149"/>
      <c r="R22" s="179" t="s">
        <v>513</v>
      </c>
      <c r="S22" s="149"/>
      <c r="T22" s="149"/>
      <c r="U22" s="149"/>
      <c r="V22" s="149"/>
      <c r="W22" s="149"/>
    </row>
    <row r="23" spans="1:23" s="155" customFormat="1" ht="65.25" hidden="1" customHeight="1">
      <c r="A23" s="139">
        <v>10</v>
      </c>
      <c r="B23" s="163" t="s">
        <v>638</v>
      </c>
      <c r="C23" s="149" t="s">
        <v>81</v>
      </c>
      <c r="D23" s="149" t="s">
        <v>379</v>
      </c>
      <c r="E23" s="235" t="s">
        <v>325</v>
      </c>
      <c r="F23" s="149" t="s">
        <v>295</v>
      </c>
      <c r="G23" s="150" t="s">
        <v>346</v>
      </c>
      <c r="H23" s="150">
        <v>1</v>
      </c>
      <c r="I23" s="151">
        <v>25032</v>
      </c>
      <c r="J23" s="151" t="s">
        <v>133</v>
      </c>
      <c r="K23" s="151" t="s">
        <v>629</v>
      </c>
      <c r="L23" s="151" t="str">
        <f>INDEX('6. data thông tin nhân sự'!D:D, MATCH('04. TH THEO LOẠI TS'!I23, '6. data thông tin nhân sự'!B:B,0))</f>
        <v>Chính thức</v>
      </c>
      <c r="M23" s="149"/>
      <c r="N23" s="231">
        <v>46204</v>
      </c>
      <c r="O23" s="149"/>
      <c r="P23" s="152" t="s">
        <v>298</v>
      </c>
      <c r="Q23" s="149"/>
      <c r="R23" s="179" t="s">
        <v>639</v>
      </c>
      <c r="S23" s="149"/>
      <c r="T23" s="149"/>
      <c r="U23" s="149"/>
      <c r="V23" s="149"/>
      <c r="W23" s="149"/>
    </row>
    <row r="24" spans="1:23" s="155" customFormat="1" ht="47.25" hidden="1" customHeight="1">
      <c r="A24" s="251"/>
      <c r="B24" s="251" t="s">
        <v>640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</row>
    <row r="25" spans="1:23" s="192" customFormat="1" ht="65.25" hidden="1" customHeight="1">
      <c r="A25" s="139">
        <v>1</v>
      </c>
      <c r="B25" s="163" t="s">
        <v>590</v>
      </c>
      <c r="C25" s="163" t="s">
        <v>77</v>
      </c>
      <c r="D25" s="163"/>
      <c r="E25" s="163"/>
      <c r="F25" s="163" t="s">
        <v>295</v>
      </c>
      <c r="G25" s="139" t="s">
        <v>296</v>
      </c>
      <c r="H25" s="139">
        <v>1</v>
      </c>
      <c r="I25" s="163"/>
      <c r="J25" s="140"/>
      <c r="K25" s="140" t="e">
        <f>INDEX('6. data thông tin nhân sự'!G:G, MATCH('04. TH THEO LOẠI TS'!I25, '6. data thông tin nhân sự'!B:B,0))</f>
        <v>#N/A</v>
      </c>
      <c r="L25" s="163" t="e">
        <f>INDEX('6. data thông tin nhân sự'!D:D, MATCH('04. TH THEO LOẠI TS'!I25, '6. data thông tin nhân sự'!B:B,0))</f>
        <v>#N/A</v>
      </c>
      <c r="M25" s="459"/>
      <c r="N25" s="231">
        <v>46204</v>
      </c>
      <c r="O25" s="163"/>
      <c r="P25" s="156" t="s">
        <v>564</v>
      </c>
      <c r="Q25" s="163"/>
      <c r="R25" s="164" t="s">
        <v>591</v>
      </c>
      <c r="S25" s="163"/>
      <c r="T25" s="163"/>
      <c r="U25" s="163"/>
      <c r="V25" s="163"/>
      <c r="W25" s="163"/>
    </row>
    <row r="26" spans="1:23" s="192" customFormat="1" ht="65.25" hidden="1" customHeight="1">
      <c r="A26" s="139">
        <v>2</v>
      </c>
      <c r="B26" s="163" t="s">
        <v>204</v>
      </c>
      <c r="C26" s="163" t="s">
        <v>77</v>
      </c>
      <c r="D26" s="163"/>
      <c r="E26" s="252" t="s">
        <v>600</v>
      </c>
      <c r="F26" s="163" t="s">
        <v>295</v>
      </c>
      <c r="G26" s="139" t="s">
        <v>296</v>
      </c>
      <c r="H26" s="139">
        <v>1</v>
      </c>
      <c r="I26" s="163">
        <v>26014</v>
      </c>
      <c r="J26" s="140" t="str">
        <f>INDEX('6. data thông tin nhân sự'!C:C, MATCH('04. TH THEO LOẠI TS'!I26, '6. data thông tin nhân sự'!B:B,0))</f>
        <v>Nguyễn Thị Thùy Linh</v>
      </c>
      <c r="K26" s="140" t="str">
        <f>INDEX('6. data thông tin nhân sự'!G:G, MATCH('04. TH THEO LOẠI TS'!I26, '6. data thông tin nhân sự'!B:B,0))</f>
        <v>Sản xuất Video - Video Prodution</v>
      </c>
      <c r="L26" s="163" t="str">
        <f>INDEX('6. data thông tin nhân sự'!D:D, MATCH('04. TH THEO LOẠI TS'!I26, '6. data thông tin nhân sự'!B:B,0))</f>
        <v xml:space="preserve">Nghỉ việc </v>
      </c>
      <c r="M26" s="140"/>
      <c r="N26" s="231">
        <v>46204</v>
      </c>
      <c r="O26" s="163"/>
      <c r="P26" s="156" t="s">
        <v>564</v>
      </c>
      <c r="Q26" s="163"/>
      <c r="R26" s="163"/>
      <c r="S26" s="164"/>
      <c r="T26" s="163"/>
      <c r="U26" s="163"/>
      <c r="V26" s="163"/>
      <c r="W26" s="163"/>
    </row>
    <row r="27" spans="1:23" s="192" customFormat="1" ht="65.25" hidden="1" customHeight="1">
      <c r="A27" s="139">
        <v>3</v>
      </c>
      <c r="B27" s="163" t="s">
        <v>293</v>
      </c>
      <c r="C27" s="163" t="s">
        <v>77</v>
      </c>
      <c r="D27" s="163"/>
      <c r="E27" s="252" t="s">
        <v>294</v>
      </c>
      <c r="F27" s="163" t="s">
        <v>295</v>
      </c>
      <c r="G27" s="139" t="s">
        <v>296</v>
      </c>
      <c r="H27" s="139">
        <v>1</v>
      </c>
      <c r="I27" s="163">
        <v>24004</v>
      </c>
      <c r="J27" s="140" t="str">
        <f>INDEX('6. data thông tin nhân sự'!C:C, MATCH('04. TH THEO LOẠI TS'!I27, '6. data thông tin nhân sự'!B:B,0))</f>
        <v>Vũ Anh Duy</v>
      </c>
      <c r="K27" s="140" t="str">
        <f>INDEX('6. data thông tin nhân sự'!G:G, MATCH('04. TH THEO LOẠI TS'!I27, '6. data thông tin nhân sự'!B:B,0))</f>
        <v>Sản xuất Video - Video Prodution</v>
      </c>
      <c r="L27" s="163" t="str">
        <f>INDEX('6. data thông tin nhân sự'!D:D, MATCH('04. TH THEO LOẠI TS'!I27, '6. data thông tin nhân sự'!B:B,0))</f>
        <v>Chính thức</v>
      </c>
      <c r="M27" s="140"/>
      <c r="N27" s="231">
        <v>46202</v>
      </c>
      <c r="O27" s="163"/>
      <c r="P27" s="163" t="s">
        <v>298</v>
      </c>
      <c r="Q27" s="163"/>
      <c r="R27" s="163"/>
      <c r="S27" s="163"/>
      <c r="T27" s="163"/>
      <c r="U27" s="163"/>
      <c r="V27" s="163"/>
      <c r="W27" s="163"/>
    </row>
    <row r="28" spans="1:23" s="192" customFormat="1" ht="65.25" hidden="1" customHeight="1">
      <c r="A28" s="139">
        <v>4</v>
      </c>
      <c r="B28" s="163" t="s">
        <v>302</v>
      </c>
      <c r="C28" s="163" t="s">
        <v>77</v>
      </c>
      <c r="D28" s="163"/>
      <c r="E28" s="252" t="s">
        <v>303</v>
      </c>
      <c r="F28" s="163" t="s">
        <v>295</v>
      </c>
      <c r="G28" s="139" t="s">
        <v>296</v>
      </c>
      <c r="H28" s="139">
        <v>1</v>
      </c>
      <c r="I28" s="163">
        <v>25026</v>
      </c>
      <c r="J28" s="140" t="str">
        <f>INDEX('6. data thông tin nhân sự'!C:C, MATCH('04. TH THEO LOẠI TS'!I28, '6. data thông tin nhân sự'!B:B,0))</f>
        <v>Vũ Hoàng Duy</v>
      </c>
      <c r="K28" s="140" t="str">
        <f>INDEX('6. data thông tin nhân sự'!G:G, MATCH('04. TH THEO LOẠI TS'!I28, '6. data thông tin nhân sự'!B:B,0))</f>
        <v>Sản xuất Video - Video Prodution</v>
      </c>
      <c r="L28" s="163" t="str">
        <f>INDEX('6. data thông tin nhân sự'!D:D, MATCH('04. TH THEO LOẠI TS'!I28, '6. data thông tin nhân sự'!B:B,0))</f>
        <v>Chính thức</v>
      </c>
      <c r="M28" s="139"/>
      <c r="N28" s="231">
        <v>46204</v>
      </c>
      <c r="O28" s="163"/>
      <c r="P28" s="163" t="s">
        <v>298</v>
      </c>
      <c r="Q28" s="163"/>
      <c r="R28" s="163"/>
      <c r="S28" s="163"/>
      <c r="T28" s="163"/>
      <c r="U28" s="163"/>
      <c r="V28" s="163"/>
      <c r="W28" s="163"/>
    </row>
    <row r="29" spans="1:23" s="192" customFormat="1" ht="65.25" hidden="1" customHeight="1">
      <c r="A29" s="139">
        <v>5</v>
      </c>
      <c r="B29" s="163" t="s">
        <v>129</v>
      </c>
      <c r="C29" s="163" t="s">
        <v>77</v>
      </c>
      <c r="D29" s="163"/>
      <c r="E29" s="252" t="s">
        <v>308</v>
      </c>
      <c r="F29" s="163" t="s">
        <v>295</v>
      </c>
      <c r="G29" s="139" t="s">
        <v>296</v>
      </c>
      <c r="H29" s="139">
        <v>1</v>
      </c>
      <c r="I29" s="163">
        <v>25011</v>
      </c>
      <c r="J29" s="140" t="str">
        <f>INDEX('6. data thông tin nhân sự'!C:C, MATCH('04. TH THEO LOẠI TS'!I29, '6. data thông tin nhân sự'!B:B,0))</f>
        <v>Lê Công Hoàng</v>
      </c>
      <c r="K29" s="140" t="str">
        <f>INDEX('6. data thông tin nhân sự'!G:G, MATCH('04. TH THEO LOẠI TS'!I29, '6. data thông tin nhân sự'!B:B,0))</f>
        <v>Sản xuất Video - Video Prodution</v>
      </c>
      <c r="L29" s="163" t="str">
        <f>INDEX('6. data thông tin nhân sự'!D:D, MATCH('04. TH THEO LOẠI TS'!I29, '6. data thông tin nhân sự'!B:B,0))</f>
        <v>Chính thức</v>
      </c>
      <c r="M29" s="139"/>
      <c r="N29" s="231">
        <v>46204</v>
      </c>
      <c r="O29" s="163"/>
      <c r="P29" s="163" t="s">
        <v>298</v>
      </c>
      <c r="Q29" s="460" t="s">
        <v>121</v>
      </c>
      <c r="R29" s="163" t="s">
        <v>310</v>
      </c>
      <c r="S29" s="163"/>
      <c r="T29" s="163"/>
      <c r="U29" s="163"/>
      <c r="V29" s="163"/>
      <c r="W29" s="163"/>
    </row>
    <row r="30" spans="1:23" s="192" customFormat="1" ht="65.25" hidden="1" customHeight="1">
      <c r="A30" s="139">
        <v>6</v>
      </c>
      <c r="B30" s="163" t="s">
        <v>315</v>
      </c>
      <c r="C30" s="163" t="s">
        <v>77</v>
      </c>
      <c r="D30" s="163"/>
      <c r="E30" s="252" t="s">
        <v>316</v>
      </c>
      <c r="F30" s="163" t="s">
        <v>295</v>
      </c>
      <c r="G30" s="139" t="s">
        <v>296</v>
      </c>
      <c r="H30" s="139">
        <v>1</v>
      </c>
      <c r="I30" s="163">
        <v>25032</v>
      </c>
      <c r="J30" s="140" t="str">
        <f>INDEX('6. data thông tin nhân sự'!C:C, MATCH('04. TH THEO LOẠI TS'!I30, '6. data thông tin nhân sự'!B:B,0))</f>
        <v>Nguyễn Ngọc Thắng</v>
      </c>
      <c r="K30" s="140" t="str">
        <f>INDEX('6. data thông tin nhân sự'!G:G, MATCH('04. TH THEO LOẠI TS'!I30, '6. data thông tin nhân sự'!B:B,0))</f>
        <v>Sản xuất Video - Video Prodution</v>
      </c>
      <c r="L30" s="163" t="str">
        <f>INDEX('6. data thông tin nhân sự'!D:D, MATCH('04. TH THEO LOẠI TS'!I30, '6. data thông tin nhân sự'!B:B,0))</f>
        <v>Chính thức</v>
      </c>
      <c r="M30" s="139"/>
      <c r="N30" s="231">
        <v>46204</v>
      </c>
      <c r="O30" s="163"/>
      <c r="P30" s="163" t="s">
        <v>298</v>
      </c>
      <c r="Q30" s="163"/>
      <c r="R30" s="163"/>
      <c r="S30" s="164" t="s">
        <v>318</v>
      </c>
      <c r="T30" s="163"/>
      <c r="U30" s="163"/>
      <c r="V30" s="163"/>
      <c r="W30" s="163"/>
    </row>
    <row r="31" spans="1:23" s="192" customFormat="1" ht="65.25" hidden="1" customHeight="1">
      <c r="A31" s="139">
        <v>7</v>
      </c>
      <c r="B31" s="163" t="s">
        <v>147</v>
      </c>
      <c r="C31" s="163" t="s">
        <v>77</v>
      </c>
      <c r="D31" s="163"/>
      <c r="E31" s="252" t="s">
        <v>333</v>
      </c>
      <c r="F31" s="163" t="s">
        <v>295</v>
      </c>
      <c r="G31" s="139" t="s">
        <v>296</v>
      </c>
      <c r="H31" s="139">
        <v>1</v>
      </c>
      <c r="I31" s="163">
        <v>25045</v>
      </c>
      <c r="J31" s="140" t="str">
        <f>INDEX('6. data thông tin nhân sự'!C:C, MATCH('04. TH THEO LOẠI TS'!I31, '6. data thông tin nhân sự'!B:B,0))</f>
        <v>Nguyễn Anh Tuấn</v>
      </c>
      <c r="K31" s="140" t="str">
        <f>INDEX('6. data thông tin nhân sự'!G:G, MATCH('04. TH THEO LOẠI TS'!I31, '6. data thông tin nhân sự'!B:B,0))</f>
        <v>Sản xuất Video - Video Prodution</v>
      </c>
      <c r="L31" s="163" t="str">
        <f>INDEX('6. data thông tin nhân sự'!D:D, MATCH('04. TH THEO LOẠI TS'!I31, '6. data thông tin nhân sự'!B:B,0))</f>
        <v>Chính thức</v>
      </c>
      <c r="M31" s="139"/>
      <c r="N31" s="231">
        <v>46204</v>
      </c>
      <c r="O31" s="163"/>
      <c r="P31" s="163" t="s">
        <v>298</v>
      </c>
      <c r="Q31" s="426"/>
      <c r="R31" s="163"/>
      <c r="S31" s="163"/>
      <c r="T31" s="163"/>
      <c r="U31" s="163"/>
      <c r="V31" s="163"/>
      <c r="W31" s="163"/>
    </row>
    <row r="32" spans="1:23" s="192" customFormat="1" ht="65.25" hidden="1" customHeight="1">
      <c r="A32" s="139">
        <v>8</v>
      </c>
      <c r="B32" s="163" t="s">
        <v>153</v>
      </c>
      <c r="C32" s="163" t="s">
        <v>77</v>
      </c>
      <c r="D32" s="163"/>
      <c r="E32" s="252" t="s">
        <v>334</v>
      </c>
      <c r="F32" s="163" t="s">
        <v>295</v>
      </c>
      <c r="G32" s="139" t="s">
        <v>296</v>
      </c>
      <c r="H32" s="139">
        <v>1</v>
      </c>
      <c r="I32" s="163">
        <v>25046</v>
      </c>
      <c r="J32" s="140" t="str">
        <f>INDEX('6. data thông tin nhân sự'!C:C, MATCH('04. TH THEO LOẠI TS'!I32, '6. data thông tin nhân sự'!B:B,0))</f>
        <v>Phùng Vân Anh</v>
      </c>
      <c r="K32" s="140" t="str">
        <f>INDEX('6. data thông tin nhân sự'!G:G, MATCH('04. TH THEO LOẠI TS'!I32, '6. data thông tin nhân sự'!B:B,0))</f>
        <v>Sản xuất Video - Video Prodution</v>
      </c>
      <c r="L32" s="163" t="str">
        <f>INDEX('6. data thông tin nhân sự'!D:D, MATCH('04. TH THEO LOẠI TS'!I32, '6. data thông tin nhân sự'!B:B,0))</f>
        <v>Chính thức</v>
      </c>
      <c r="M32" s="139"/>
      <c r="N32" s="231">
        <v>46204</v>
      </c>
      <c r="O32" s="163"/>
      <c r="P32" s="163" t="s">
        <v>298</v>
      </c>
      <c r="Q32" s="163"/>
      <c r="R32" s="163"/>
      <c r="S32" s="163"/>
      <c r="T32" s="163"/>
      <c r="U32" s="163"/>
      <c r="V32" s="163"/>
      <c r="W32" s="163"/>
    </row>
    <row r="33" spans="1:23" s="192" customFormat="1" ht="65.25" hidden="1" customHeight="1">
      <c r="A33" s="139">
        <v>9</v>
      </c>
      <c r="B33" s="163" t="s">
        <v>194</v>
      </c>
      <c r="C33" s="163" t="s">
        <v>77</v>
      </c>
      <c r="D33" s="163"/>
      <c r="E33" s="252" t="s">
        <v>349</v>
      </c>
      <c r="F33" s="163" t="s">
        <v>345</v>
      </c>
      <c r="G33" s="139" t="s">
        <v>296</v>
      </c>
      <c r="H33" s="139">
        <v>1</v>
      </c>
      <c r="I33" s="163">
        <v>20002</v>
      </c>
      <c r="J33" s="140" t="str">
        <f>INDEX('6. data thông tin nhân sự'!C:C, MATCH('04. TH THEO LOẠI TS'!I33, '6. data thông tin nhân sự'!B:B,0))</f>
        <v>Đào Thị Thùy</v>
      </c>
      <c r="K33" s="140" t="str">
        <f>INDEX('6. data thông tin nhân sự'!G:G, MATCH('04. TH THEO LOẠI TS'!I33, '6. data thông tin nhân sự'!B:B,0))</f>
        <v>Truyền thông - Marketing</v>
      </c>
      <c r="L33" s="163" t="str">
        <f>INDEX('6. data thông tin nhân sự'!D:D, MATCH('04. TH THEO LOẠI TS'!I33, '6. data thông tin nhân sự'!B:B,0))</f>
        <v>Chính thức</v>
      </c>
      <c r="M33" s="529"/>
      <c r="N33" s="231">
        <v>45839</v>
      </c>
      <c r="O33" s="163"/>
      <c r="P33" s="163" t="s">
        <v>298</v>
      </c>
      <c r="Q33" s="163"/>
      <c r="R33" s="163"/>
      <c r="S33" s="163"/>
      <c r="T33" s="163"/>
      <c r="U33" s="163"/>
      <c r="V33" s="163"/>
      <c r="W33" s="163"/>
    </row>
    <row r="34" spans="1:23" s="192" customFormat="1" ht="65.25" hidden="1" customHeight="1">
      <c r="A34" s="139">
        <v>10</v>
      </c>
      <c r="B34" s="163" t="s">
        <v>200</v>
      </c>
      <c r="C34" s="163" t="s">
        <v>77</v>
      </c>
      <c r="D34" s="163"/>
      <c r="E34" s="252" t="s">
        <v>353</v>
      </c>
      <c r="F34" s="163" t="s">
        <v>345</v>
      </c>
      <c r="G34" s="139" t="s">
        <v>296</v>
      </c>
      <c r="H34" s="139">
        <v>1</v>
      </c>
      <c r="I34" s="163">
        <v>22002</v>
      </c>
      <c r="J34" s="140" t="str">
        <f>INDEX('6. data thông tin nhân sự'!C:C, MATCH('04. TH THEO LOẠI TS'!I34, '6. data thông tin nhân sự'!B:B,0))</f>
        <v>Ngô Khánh Vi</v>
      </c>
      <c r="K34" s="140" t="str">
        <f>INDEX('6. data thông tin nhân sự'!G:G, MATCH('04. TH THEO LOẠI TS'!I34, '6. data thông tin nhân sự'!B:B,0))</f>
        <v>Truyền thông - Marketing</v>
      </c>
      <c r="L34" s="163" t="str">
        <f>INDEX('6. data thông tin nhân sự'!D:D, MATCH('04. TH THEO LOẠI TS'!I34, '6. data thông tin nhân sự'!B:B,0))</f>
        <v>Chính thức</v>
      </c>
      <c r="M34" s="139"/>
      <c r="N34" s="231">
        <v>46204</v>
      </c>
      <c r="O34" s="163"/>
      <c r="P34" s="163" t="s">
        <v>298</v>
      </c>
      <c r="Q34" s="163"/>
      <c r="R34" s="163"/>
      <c r="S34" s="163"/>
      <c r="T34" s="163"/>
      <c r="U34" s="163"/>
      <c r="V34" s="163"/>
      <c r="W34" s="163"/>
    </row>
    <row r="35" spans="1:23" s="192" customFormat="1" ht="65.25" hidden="1" customHeight="1">
      <c r="A35" s="139">
        <v>11</v>
      </c>
      <c r="B35" s="163" t="s">
        <v>387</v>
      </c>
      <c r="C35" s="163" t="s">
        <v>77</v>
      </c>
      <c r="D35" s="163"/>
      <c r="E35" s="252" t="s">
        <v>388</v>
      </c>
      <c r="F35" s="163" t="s">
        <v>373</v>
      </c>
      <c r="G35" s="139" t="s">
        <v>296</v>
      </c>
      <c r="H35" s="139">
        <v>1</v>
      </c>
      <c r="I35" s="163">
        <v>26023</v>
      </c>
      <c r="J35" s="140" t="str">
        <f>INDEX('6. data thông tin nhân sự'!C:C, MATCH('04. TH THEO LOẠI TS'!I35, '6. data thông tin nhân sự'!B:B,0))</f>
        <v>Lê Đức Minh</v>
      </c>
      <c r="K35" s="140" t="str">
        <f>INDEX('6. data thông tin nhân sự'!G:G, MATCH('04. TH THEO LOẠI TS'!I35, '6. data thông tin nhân sự'!B:B,0))</f>
        <v>Sáng tạo - Creative</v>
      </c>
      <c r="L35" s="163" t="str">
        <f>INDEX('6. data thông tin nhân sự'!D:D, MATCH('04. TH THEO LOẠI TS'!I35, '6. data thông tin nhân sự'!B:B,0))</f>
        <v>Thử việc</v>
      </c>
      <c r="M35" s="140"/>
      <c r="N35" s="231">
        <v>46237</v>
      </c>
      <c r="O35" s="163"/>
      <c r="P35" s="163" t="s">
        <v>298</v>
      </c>
      <c r="Q35" s="163"/>
      <c r="R35" s="163"/>
      <c r="S35" s="163" t="s">
        <v>641</v>
      </c>
      <c r="T35" s="163"/>
      <c r="U35" s="163"/>
      <c r="V35" s="163"/>
      <c r="W35" s="163"/>
    </row>
    <row r="36" spans="1:23" s="192" customFormat="1" ht="65.25" hidden="1" customHeight="1">
      <c r="A36" s="139">
        <v>12</v>
      </c>
      <c r="B36" s="163" t="s">
        <v>382</v>
      </c>
      <c r="C36" s="163" t="s">
        <v>77</v>
      </c>
      <c r="D36" s="163"/>
      <c r="E36" s="252" t="s">
        <v>383</v>
      </c>
      <c r="F36" s="163" t="s">
        <v>373</v>
      </c>
      <c r="G36" s="139" t="s">
        <v>296</v>
      </c>
      <c r="H36" s="139">
        <v>1</v>
      </c>
      <c r="I36" s="163">
        <v>24003</v>
      </c>
      <c r="J36" s="140" t="str">
        <f>INDEX('6. data thông tin nhân sự'!C:C, MATCH('04. TH THEO LOẠI TS'!I36, '6. data thông tin nhân sự'!B:B,0))</f>
        <v>Nguyễn Thị Hà Giang</v>
      </c>
      <c r="K36" s="140" t="str">
        <f>INDEX('6. data thông tin nhân sự'!G:G, MATCH('04. TH THEO LOẠI TS'!I36, '6. data thông tin nhân sự'!B:B,0))</f>
        <v>Sáng tạo - Creative</v>
      </c>
      <c r="L36" s="163" t="str">
        <f>INDEX('6. data thông tin nhân sự'!D:D, MATCH('04. TH THEO LOẠI TS'!I36, '6. data thông tin nhân sự'!B:B,0))</f>
        <v>Chính thức</v>
      </c>
      <c r="M36" s="140"/>
      <c r="N36" s="231">
        <v>46217</v>
      </c>
      <c r="O36" s="163"/>
      <c r="P36" s="163" t="s">
        <v>298</v>
      </c>
      <c r="Q36" s="163"/>
      <c r="R36" s="163"/>
      <c r="S36" s="164" t="s">
        <v>385</v>
      </c>
      <c r="T36" s="163"/>
      <c r="U36" s="163"/>
      <c r="V36" s="163"/>
      <c r="W36" s="163"/>
    </row>
    <row r="37" spans="1:23" s="192" customFormat="1" ht="65.25" hidden="1" customHeight="1">
      <c r="A37" s="139">
        <v>13</v>
      </c>
      <c r="B37" s="163" t="s">
        <v>257</v>
      </c>
      <c r="C37" s="163" t="s">
        <v>77</v>
      </c>
      <c r="D37" s="163"/>
      <c r="E37" s="252" t="s">
        <v>393</v>
      </c>
      <c r="F37" s="163" t="s">
        <v>373</v>
      </c>
      <c r="G37" s="139" t="s">
        <v>296</v>
      </c>
      <c r="H37" s="139">
        <v>1</v>
      </c>
      <c r="I37" s="163">
        <v>26001</v>
      </c>
      <c r="J37" s="140" t="str">
        <f>INDEX('6. data thông tin nhân sự'!C:C, MATCH('04. TH THEO LOẠI TS'!I37, '6. data thông tin nhân sự'!B:B,0))</f>
        <v>Tô Hồng Đức</v>
      </c>
      <c r="K37" s="140" t="str">
        <f>INDEX('6. data thông tin nhân sự'!G:G, MATCH('04. TH THEO LOẠI TS'!I37, '6. data thông tin nhân sự'!B:B,0))</f>
        <v>Sáng tạo - Creative</v>
      </c>
      <c r="L37" s="163" t="str">
        <f>INDEX('6. data thông tin nhân sự'!D:D, MATCH('04. TH THEO LOẠI TS'!I37, '6. data thông tin nhân sự'!B:B,0))</f>
        <v>Chính thức</v>
      </c>
      <c r="M37" s="140"/>
      <c r="N37" s="231">
        <v>46217</v>
      </c>
      <c r="O37" s="163"/>
      <c r="P37" s="163" t="s">
        <v>298</v>
      </c>
      <c r="Q37" s="163"/>
      <c r="R37" s="163"/>
      <c r="S37" s="163"/>
      <c r="T37" s="163"/>
      <c r="U37" s="163"/>
      <c r="V37" s="163"/>
      <c r="W37" s="163"/>
    </row>
    <row r="38" spans="1:23" s="192" customFormat="1" ht="65.25" hidden="1" customHeight="1">
      <c r="A38" s="139">
        <v>14</v>
      </c>
      <c r="B38" s="163" t="s">
        <v>406</v>
      </c>
      <c r="C38" s="163" t="s">
        <v>77</v>
      </c>
      <c r="D38" s="163"/>
      <c r="E38" s="252" t="s">
        <v>407</v>
      </c>
      <c r="F38" s="163" t="s">
        <v>408</v>
      </c>
      <c r="G38" s="139" t="s">
        <v>296</v>
      </c>
      <c r="H38" s="139">
        <v>1</v>
      </c>
      <c r="I38" s="163">
        <v>24001</v>
      </c>
      <c r="J38" s="140" t="str">
        <f>INDEX('6. data thông tin nhân sự'!C:C, MATCH('04. TH THEO LOẠI TS'!I38, '6. data thông tin nhân sự'!B:B,0))</f>
        <v>Lê Lâm Cường</v>
      </c>
      <c r="K38" s="140" t="str">
        <f>INDEX('6. data thông tin nhân sự'!G:G, MATCH('04. TH THEO LOẠI TS'!I38, '6. data thông tin nhân sự'!B:B,0))</f>
        <v>Sự kiện - Event</v>
      </c>
      <c r="L38" s="163" t="str">
        <f>INDEX('6. data thông tin nhân sự'!D:D, MATCH('04. TH THEO LOẠI TS'!I38, '6. data thông tin nhân sự'!B:B,0))</f>
        <v xml:space="preserve">Nghỉ việc </v>
      </c>
      <c r="M38" s="139"/>
      <c r="N38" s="231">
        <v>46204</v>
      </c>
      <c r="O38" s="163"/>
      <c r="P38" s="163" t="s">
        <v>298</v>
      </c>
      <c r="Q38" s="163"/>
      <c r="R38" s="163"/>
      <c r="S38" s="163"/>
      <c r="T38" s="163"/>
      <c r="U38" s="163"/>
      <c r="V38" s="163"/>
      <c r="W38" s="163"/>
    </row>
    <row r="39" spans="1:23" s="192" customFormat="1" ht="65.25" hidden="1" customHeight="1">
      <c r="A39" s="139">
        <v>15</v>
      </c>
      <c r="B39" s="163" t="s">
        <v>134</v>
      </c>
      <c r="C39" s="163" t="s">
        <v>77</v>
      </c>
      <c r="D39" s="163"/>
      <c r="E39" s="252" t="s">
        <v>415</v>
      </c>
      <c r="F39" s="163" t="s">
        <v>408</v>
      </c>
      <c r="G39" s="139" t="s">
        <v>296</v>
      </c>
      <c r="H39" s="139">
        <v>1</v>
      </c>
      <c r="I39" s="163">
        <v>22001</v>
      </c>
      <c r="J39" s="140" t="str">
        <f>INDEX('6. data thông tin nhân sự'!C:C, MATCH('04. TH THEO LOẠI TS'!I39, '6. data thông tin nhân sự'!B:B,0))</f>
        <v>Bùi Xuân Dân</v>
      </c>
      <c r="K39" s="140" t="str">
        <f>INDEX('6. data thông tin nhân sự'!G:G, MATCH('04. TH THEO LOẠI TS'!I39, '6. data thông tin nhân sự'!B:B,0))</f>
        <v>Sự kiện - Event</v>
      </c>
      <c r="L39" s="163" t="str">
        <f>INDEX('6. data thông tin nhân sự'!D:D, MATCH('04. TH THEO LOẠI TS'!I39, '6. data thông tin nhân sự'!B:B,0))</f>
        <v>Chính thức</v>
      </c>
      <c r="M39" s="139"/>
      <c r="N39" s="231">
        <v>46204</v>
      </c>
      <c r="O39" s="163"/>
      <c r="P39" s="163" t="s">
        <v>298</v>
      </c>
      <c r="Q39" s="460" t="s">
        <v>121</v>
      </c>
      <c r="R39" s="163" t="s">
        <v>417</v>
      </c>
      <c r="S39" s="163"/>
      <c r="T39" s="163"/>
      <c r="U39" s="163"/>
      <c r="V39" s="163"/>
      <c r="W39" s="163"/>
    </row>
    <row r="40" spans="1:23" s="192" customFormat="1" ht="65.25" hidden="1" customHeight="1">
      <c r="A40" s="139">
        <v>16</v>
      </c>
      <c r="B40" s="163" t="s">
        <v>419</v>
      </c>
      <c r="C40" s="163" t="s">
        <v>77</v>
      </c>
      <c r="D40" s="163"/>
      <c r="E40" s="252" t="s">
        <v>420</v>
      </c>
      <c r="F40" s="163" t="s">
        <v>408</v>
      </c>
      <c r="G40" s="139" t="s">
        <v>296</v>
      </c>
      <c r="H40" s="139">
        <v>1</v>
      </c>
      <c r="I40" s="163">
        <v>23008</v>
      </c>
      <c r="J40" s="140" t="str">
        <f>INDEX('6. data thông tin nhân sự'!C:C, MATCH('04. TH THEO LOẠI TS'!I40, '6. data thông tin nhân sự'!B:B,0))</f>
        <v>Hoàng Hà Giang</v>
      </c>
      <c r="K40" s="140" t="str">
        <f>INDEX('6. data thông tin nhân sự'!G:G, MATCH('04. TH THEO LOẠI TS'!I40, '6. data thông tin nhân sự'!B:B,0))</f>
        <v>Sự kiện - Event</v>
      </c>
      <c r="L40" s="163" t="str">
        <f>INDEX('6. data thông tin nhân sự'!D:D, MATCH('04. TH THEO LOẠI TS'!I40, '6. data thông tin nhân sự'!B:B,0))</f>
        <v>Chính thức</v>
      </c>
      <c r="M40" s="140"/>
      <c r="N40" s="231">
        <v>46204</v>
      </c>
      <c r="O40" s="163"/>
      <c r="P40" s="163" t="s">
        <v>298</v>
      </c>
      <c r="Q40" s="163"/>
      <c r="R40" s="163"/>
      <c r="S40" s="163"/>
      <c r="T40" s="163"/>
      <c r="U40" s="163"/>
      <c r="V40" s="163"/>
      <c r="W40" s="163"/>
    </row>
    <row r="41" spans="1:23" s="192" customFormat="1" ht="65.25" hidden="1" customHeight="1">
      <c r="A41" s="139">
        <v>17</v>
      </c>
      <c r="B41" s="163" t="s">
        <v>423</v>
      </c>
      <c r="C41" s="163" t="s">
        <v>77</v>
      </c>
      <c r="D41" s="163"/>
      <c r="E41" s="252" t="s">
        <v>424</v>
      </c>
      <c r="F41" s="163" t="s">
        <v>408</v>
      </c>
      <c r="G41" s="139" t="s">
        <v>296</v>
      </c>
      <c r="H41" s="139">
        <v>1</v>
      </c>
      <c r="I41" s="163">
        <v>25028</v>
      </c>
      <c r="J41" s="140" t="str">
        <f>INDEX('6. data thông tin nhân sự'!C:C, MATCH('04. TH THEO LOẠI TS'!I41, '6. data thông tin nhân sự'!B:B,0))</f>
        <v>Nguyễn Phương Anh</v>
      </c>
      <c r="K41" s="140" t="str">
        <f>INDEX('6. data thông tin nhân sự'!G:G, MATCH('04. TH THEO LOẠI TS'!I41, '6. data thông tin nhân sự'!B:B,0))</f>
        <v>Sự kiện - Event</v>
      </c>
      <c r="L41" s="163" t="str">
        <f>INDEX('6. data thông tin nhân sự'!D:D, MATCH('04. TH THEO LOẠI TS'!I41, '6. data thông tin nhân sự'!B:B,0))</f>
        <v>Chính thức</v>
      </c>
      <c r="M41" s="139"/>
      <c r="N41" s="231">
        <v>46204</v>
      </c>
      <c r="O41" s="163"/>
      <c r="P41" s="163" t="s">
        <v>298</v>
      </c>
      <c r="Q41" s="163"/>
      <c r="R41" s="163"/>
      <c r="S41" s="163"/>
      <c r="T41" s="163"/>
      <c r="U41" s="163"/>
      <c r="V41" s="163"/>
      <c r="W41" s="163"/>
    </row>
    <row r="42" spans="1:23" s="192" customFormat="1" ht="65.25" hidden="1" customHeight="1">
      <c r="A42" s="139">
        <v>18</v>
      </c>
      <c r="B42" s="163" t="s">
        <v>428</v>
      </c>
      <c r="C42" s="163" t="s">
        <v>77</v>
      </c>
      <c r="D42" s="163"/>
      <c r="E42" s="252" t="s">
        <v>429</v>
      </c>
      <c r="F42" s="163" t="s">
        <v>408</v>
      </c>
      <c r="G42" s="139" t="s">
        <v>296</v>
      </c>
      <c r="H42" s="139">
        <v>1</v>
      </c>
      <c r="I42" s="163">
        <v>25012</v>
      </c>
      <c r="J42" s="140" t="str">
        <f>INDEX('6. data thông tin nhân sự'!C:C, MATCH('04. TH THEO LOẠI TS'!I42, '6. data thông tin nhân sự'!B:B,0))</f>
        <v>Dương Nguyên Bảo</v>
      </c>
      <c r="K42" s="140" t="str">
        <f>INDEX('6. data thông tin nhân sự'!G:G, MATCH('04. TH THEO LOẠI TS'!I42, '6. data thông tin nhân sự'!B:B,0))</f>
        <v>Sự kiện - Event</v>
      </c>
      <c r="L42" s="163" t="str">
        <f>INDEX('6. data thông tin nhân sự'!D:D, MATCH('04. TH THEO LOẠI TS'!I42, '6. data thông tin nhân sự'!B:B,0))</f>
        <v>Chính thức</v>
      </c>
      <c r="M42" s="140"/>
      <c r="N42" s="231">
        <v>46204</v>
      </c>
      <c r="O42" s="163"/>
      <c r="P42" s="163" t="s">
        <v>298</v>
      </c>
      <c r="Q42" s="140"/>
      <c r="R42" s="140"/>
      <c r="S42" s="140"/>
      <c r="T42" s="140"/>
      <c r="U42" s="140"/>
      <c r="V42" s="140"/>
      <c r="W42" s="140"/>
    </row>
    <row r="43" spans="1:23" s="192" customFormat="1" ht="65.25" hidden="1" customHeight="1">
      <c r="A43" s="139">
        <v>19</v>
      </c>
      <c r="B43" s="163" t="s">
        <v>434</v>
      </c>
      <c r="C43" s="163" t="s">
        <v>77</v>
      </c>
      <c r="D43" s="163"/>
      <c r="E43" s="252" t="s">
        <v>435</v>
      </c>
      <c r="F43" s="163" t="s">
        <v>408</v>
      </c>
      <c r="G43" s="139" t="s">
        <v>296</v>
      </c>
      <c r="H43" s="139">
        <v>1</v>
      </c>
      <c r="I43" s="163">
        <v>25030</v>
      </c>
      <c r="J43" s="140" t="str">
        <f>INDEX('6. data thông tin nhân sự'!C:C, MATCH('04. TH THEO LOẠI TS'!I43, '6. data thông tin nhân sự'!B:B,0))</f>
        <v>Hoàng Tuấn Anh</v>
      </c>
      <c r="K43" s="140" t="str">
        <f>INDEX('6. data thông tin nhân sự'!G:G, MATCH('04. TH THEO LOẠI TS'!I43, '6. data thông tin nhân sự'!B:B,0))</f>
        <v>Sự kiện - Event</v>
      </c>
      <c r="L43" s="163" t="str">
        <f>INDEX('6. data thông tin nhân sự'!D:D, MATCH('04. TH THEO LOẠI TS'!I43, '6. data thông tin nhân sự'!B:B,0))</f>
        <v>Chính thức</v>
      </c>
      <c r="M43" s="139"/>
      <c r="N43" s="231">
        <v>46204</v>
      </c>
      <c r="O43" s="163"/>
      <c r="P43" s="163" t="s">
        <v>298</v>
      </c>
      <c r="Q43" s="163"/>
      <c r="R43" s="163"/>
      <c r="S43" s="163"/>
      <c r="T43" s="163"/>
      <c r="U43" s="163"/>
      <c r="V43" s="163"/>
      <c r="W43" s="163"/>
    </row>
    <row r="44" spans="1:23" s="192" customFormat="1" ht="65.25" hidden="1" customHeight="1">
      <c r="A44" s="139">
        <v>20</v>
      </c>
      <c r="B44" s="163" t="s">
        <v>441</v>
      </c>
      <c r="C44" s="163" t="s">
        <v>77</v>
      </c>
      <c r="D44" s="163"/>
      <c r="E44" s="252" t="s">
        <v>442</v>
      </c>
      <c r="F44" s="163" t="s">
        <v>443</v>
      </c>
      <c r="G44" s="139" t="s">
        <v>296</v>
      </c>
      <c r="H44" s="139">
        <v>1</v>
      </c>
      <c r="I44" s="163">
        <v>20001</v>
      </c>
      <c r="J44" s="140" t="str">
        <f>INDEX('6. data thông tin nhân sự'!C:C, MATCH('04. TH THEO LOẠI TS'!I44, '6. data thông tin nhân sự'!B:B,0))</f>
        <v>Hoàng Quốc Nghị</v>
      </c>
      <c r="K44" s="140" t="str">
        <f>INDEX('6. data thông tin nhân sự'!G:G, MATCH('04. TH THEO LOẠI TS'!I44, '6. data thông tin nhân sự'!B:B,0))</f>
        <v>Thiết kế - Design</v>
      </c>
      <c r="L44" s="163" t="str">
        <f>INDEX('6. data thông tin nhân sự'!D:D, MATCH('04. TH THEO LOẠI TS'!I44, '6. data thông tin nhân sự'!B:B,0))</f>
        <v>Chính thức</v>
      </c>
      <c r="M44" s="139"/>
      <c r="N44" s="231">
        <v>46204</v>
      </c>
      <c r="O44" s="163"/>
      <c r="P44" s="163" t="s">
        <v>298</v>
      </c>
      <c r="Q44" s="163"/>
      <c r="R44" s="163"/>
      <c r="S44" s="163"/>
      <c r="T44" s="163"/>
      <c r="U44" s="163"/>
      <c r="V44" s="163"/>
      <c r="W44" s="163"/>
    </row>
    <row r="45" spans="1:23" s="192" customFormat="1" ht="65.25" hidden="1" customHeight="1">
      <c r="A45" s="139">
        <v>21</v>
      </c>
      <c r="B45" s="163" t="s">
        <v>446</v>
      </c>
      <c r="C45" s="163" t="s">
        <v>77</v>
      </c>
      <c r="D45" s="163"/>
      <c r="E45" s="252" t="s">
        <v>447</v>
      </c>
      <c r="F45" s="163" t="s">
        <v>443</v>
      </c>
      <c r="G45" s="139" t="s">
        <v>296</v>
      </c>
      <c r="H45" s="139">
        <v>1</v>
      </c>
      <c r="I45" s="163">
        <v>21002</v>
      </c>
      <c r="J45" s="140" t="str">
        <f>INDEX('6. data thông tin nhân sự'!C:C, MATCH('04. TH THEO LOẠI TS'!I45, '6. data thông tin nhân sự'!B:B,0))</f>
        <v>Nguyễn Phương Mai</v>
      </c>
      <c r="K45" s="140" t="str">
        <f>INDEX('6. data thông tin nhân sự'!G:G, MATCH('04. TH THEO LOẠI TS'!I45, '6. data thông tin nhân sự'!B:B,0))</f>
        <v>Thiết kế - Design</v>
      </c>
      <c r="L45" s="163" t="str">
        <f>INDEX('6. data thông tin nhân sự'!D:D, MATCH('04. TH THEO LOẠI TS'!I45, '6. data thông tin nhân sự'!B:B,0))</f>
        <v>Chính thức</v>
      </c>
      <c r="M45" s="139"/>
      <c r="N45" s="231">
        <v>46204</v>
      </c>
      <c r="O45" s="163"/>
      <c r="P45" s="163" t="s">
        <v>298</v>
      </c>
      <c r="Q45" s="163"/>
      <c r="R45" s="163"/>
      <c r="S45" s="163"/>
      <c r="T45" s="163"/>
      <c r="U45" s="163"/>
      <c r="V45" s="163"/>
      <c r="W45" s="163"/>
    </row>
    <row r="46" spans="1:23" s="192" customFormat="1" ht="65.25" hidden="1" customHeight="1">
      <c r="A46" s="139">
        <v>22</v>
      </c>
      <c r="B46" s="163" t="s">
        <v>451</v>
      </c>
      <c r="C46" s="163" t="s">
        <v>77</v>
      </c>
      <c r="D46" s="163"/>
      <c r="E46" s="252" t="s">
        <v>452</v>
      </c>
      <c r="F46" s="163" t="s">
        <v>443</v>
      </c>
      <c r="G46" s="139" t="s">
        <v>296</v>
      </c>
      <c r="H46" s="139">
        <v>1</v>
      </c>
      <c r="I46" s="163">
        <v>21001</v>
      </c>
      <c r="J46" s="140" t="str">
        <f>INDEX('6. data thông tin nhân sự'!C:C, MATCH('04. TH THEO LOẠI TS'!I46, '6. data thông tin nhân sự'!B:B,0))</f>
        <v>Nguyễn  Việt Thắng</v>
      </c>
      <c r="K46" s="140" t="str">
        <f>INDEX('6. data thông tin nhân sự'!G:G, MATCH('04. TH THEO LOẠI TS'!I46, '6. data thông tin nhân sự'!B:B,0))</f>
        <v>Thiết kế - Design</v>
      </c>
      <c r="L46" s="163" t="str">
        <f>INDEX('6. data thông tin nhân sự'!D:D, MATCH('04. TH THEO LOẠI TS'!I46, '6. data thông tin nhân sự'!B:B,0))</f>
        <v>Chính thức</v>
      </c>
      <c r="M46" s="139"/>
      <c r="N46" s="231">
        <v>46204</v>
      </c>
      <c r="O46" s="163"/>
      <c r="P46" s="163" t="s">
        <v>298</v>
      </c>
      <c r="Q46" s="163"/>
      <c r="R46" s="163"/>
      <c r="S46" s="163"/>
      <c r="T46" s="163"/>
      <c r="U46" s="163"/>
      <c r="V46" s="163"/>
      <c r="W46" s="163"/>
    </row>
    <row r="47" spans="1:23" s="192" customFormat="1" ht="65.25" hidden="1" customHeight="1">
      <c r="A47" s="139">
        <v>23</v>
      </c>
      <c r="B47" s="163" t="s">
        <v>456</v>
      </c>
      <c r="C47" s="163" t="s">
        <v>77</v>
      </c>
      <c r="D47" s="163"/>
      <c r="E47" s="252" t="s">
        <v>457</v>
      </c>
      <c r="F47" s="163" t="s">
        <v>443</v>
      </c>
      <c r="G47" s="139" t="s">
        <v>296</v>
      </c>
      <c r="H47" s="139">
        <v>1</v>
      </c>
      <c r="I47" s="163">
        <v>23001</v>
      </c>
      <c r="J47" s="140" t="str">
        <f>INDEX('6. data thông tin nhân sự'!C:C, MATCH('04. TH THEO LOẠI TS'!I47, '6. data thông tin nhân sự'!B:B,0))</f>
        <v>Thái Thị Thanh Thảo</v>
      </c>
      <c r="K47" s="140" t="str">
        <f>INDEX('6. data thông tin nhân sự'!G:G, MATCH('04. TH THEO LOẠI TS'!I47, '6. data thông tin nhân sự'!B:B,0))</f>
        <v>Thiết kế - Design</v>
      </c>
      <c r="L47" s="163" t="str">
        <f>INDEX('6. data thông tin nhân sự'!D:D, MATCH('04. TH THEO LOẠI TS'!I47, '6. data thông tin nhân sự'!B:B,0))</f>
        <v>Chính thức</v>
      </c>
      <c r="M47" s="139"/>
      <c r="N47" s="231">
        <v>46204</v>
      </c>
      <c r="O47" s="163"/>
      <c r="P47" s="163" t="s">
        <v>298</v>
      </c>
      <c r="Q47" s="163"/>
      <c r="R47" s="163"/>
      <c r="S47" s="163"/>
      <c r="T47" s="163"/>
      <c r="U47" s="163"/>
      <c r="V47" s="163"/>
      <c r="W47" s="163"/>
    </row>
    <row r="48" spans="1:23" s="192" customFormat="1" ht="65.25" hidden="1" customHeight="1">
      <c r="A48" s="139">
        <v>24</v>
      </c>
      <c r="B48" s="163" t="s">
        <v>461</v>
      </c>
      <c r="C48" s="163" t="s">
        <v>77</v>
      </c>
      <c r="D48" s="163"/>
      <c r="E48" s="252" t="s">
        <v>462</v>
      </c>
      <c r="F48" s="163" t="s">
        <v>443</v>
      </c>
      <c r="G48" s="139" t="s">
        <v>296</v>
      </c>
      <c r="H48" s="139">
        <v>1</v>
      </c>
      <c r="I48" s="163">
        <v>26003</v>
      </c>
      <c r="J48" s="140" t="str">
        <f>INDEX('6. data thông tin nhân sự'!C:C, MATCH('04. TH THEO LOẠI TS'!I48, '6. data thông tin nhân sự'!B:B,0))</f>
        <v>Vũ Đăng Duy</v>
      </c>
      <c r="K48" s="140" t="str">
        <f>INDEX('6. data thông tin nhân sự'!G:G, MATCH('04. TH THEO LOẠI TS'!I48, '6. data thông tin nhân sự'!B:B,0))</f>
        <v>Thiết kế - Design</v>
      </c>
      <c r="L48" s="163" t="str">
        <f>INDEX('6. data thông tin nhân sự'!D:D, MATCH('04. TH THEO LOẠI TS'!I48, '6. data thông tin nhân sự'!B:B,0))</f>
        <v>Chính thức</v>
      </c>
      <c r="M48" s="139"/>
      <c r="N48" s="231">
        <v>46204</v>
      </c>
      <c r="O48" s="163"/>
      <c r="P48" s="163" t="s">
        <v>298</v>
      </c>
      <c r="Q48" s="163"/>
      <c r="R48" s="163"/>
      <c r="S48" s="164" t="s">
        <v>464</v>
      </c>
      <c r="T48" s="163"/>
      <c r="U48" s="163"/>
      <c r="V48" s="163"/>
      <c r="W48" s="163"/>
    </row>
    <row r="49" spans="1:24" s="192" customFormat="1" ht="65.25" hidden="1" customHeight="1">
      <c r="A49" s="139">
        <v>25</v>
      </c>
      <c r="B49" s="163" t="s">
        <v>468</v>
      </c>
      <c r="C49" s="163" t="s">
        <v>77</v>
      </c>
      <c r="D49" s="163"/>
      <c r="E49" s="252" t="s">
        <v>469</v>
      </c>
      <c r="F49" s="163" t="s">
        <v>443</v>
      </c>
      <c r="G49" s="139" t="s">
        <v>296</v>
      </c>
      <c r="H49" s="139">
        <v>1</v>
      </c>
      <c r="I49" s="163">
        <v>23002</v>
      </c>
      <c r="J49" s="140" t="str">
        <f>INDEX('6. data thông tin nhân sự'!C:C, MATCH('04. TH THEO LOẠI TS'!I49, '6. data thông tin nhân sự'!B:B,0))</f>
        <v>Vũ Thị Mai Linh</v>
      </c>
      <c r="K49" s="140" t="str">
        <f>INDEX('6. data thông tin nhân sự'!G:G, MATCH('04. TH THEO LOẠI TS'!I49, '6. data thông tin nhân sự'!B:B,0))</f>
        <v>Thiết kế - Design</v>
      </c>
      <c r="L49" s="163" t="str">
        <f>INDEX('6. data thông tin nhân sự'!D:D, MATCH('04. TH THEO LOẠI TS'!I49, '6. data thông tin nhân sự'!B:B,0))</f>
        <v>Chính thức</v>
      </c>
      <c r="M49" s="139"/>
      <c r="N49" s="231">
        <v>46203</v>
      </c>
      <c r="O49" s="163"/>
      <c r="P49" s="163" t="s">
        <v>298</v>
      </c>
      <c r="Q49" s="163"/>
      <c r="R49" s="163"/>
      <c r="S49" s="163"/>
      <c r="T49" s="163"/>
      <c r="U49" s="163"/>
      <c r="V49" s="163"/>
      <c r="W49" s="163"/>
    </row>
    <row r="50" spans="1:24" s="192" customFormat="1" ht="65.25" hidden="1" customHeight="1">
      <c r="A50" s="139">
        <v>26</v>
      </c>
      <c r="B50" s="163" t="s">
        <v>473</v>
      </c>
      <c r="C50" s="163" t="s">
        <v>77</v>
      </c>
      <c r="D50" s="163"/>
      <c r="E50" s="252" t="s">
        <v>474</v>
      </c>
      <c r="F50" s="163" t="s">
        <v>443</v>
      </c>
      <c r="G50" s="139" t="s">
        <v>296</v>
      </c>
      <c r="H50" s="139">
        <v>1</v>
      </c>
      <c r="I50" s="163">
        <v>24006</v>
      </c>
      <c r="J50" s="140" t="str">
        <f>INDEX('6. data thông tin nhân sự'!C:C, MATCH('04. TH THEO LOẠI TS'!I50, '6. data thông tin nhân sự'!B:B,0))</f>
        <v>Nguyễn Thị Thuỷ Tiên</v>
      </c>
      <c r="K50" s="140" t="str">
        <f>INDEX('6. data thông tin nhân sự'!G:G, MATCH('04. TH THEO LOẠI TS'!I50, '6. data thông tin nhân sự'!B:B,0))</f>
        <v>Thiết kế - Design</v>
      </c>
      <c r="L50" s="163" t="str">
        <f>INDEX('6. data thông tin nhân sự'!D:D, MATCH('04. TH THEO LOẠI TS'!I50, '6. data thông tin nhân sự'!B:B,0))</f>
        <v>Chính thức</v>
      </c>
      <c r="M50" s="139"/>
      <c r="N50" s="231">
        <v>46204</v>
      </c>
      <c r="O50" s="163"/>
      <c r="P50" s="163" t="s">
        <v>298</v>
      </c>
      <c r="Q50" s="163"/>
      <c r="R50" s="163"/>
      <c r="S50" s="163"/>
      <c r="T50" s="163"/>
      <c r="U50" s="163"/>
      <c r="V50" s="163"/>
      <c r="W50" s="163"/>
    </row>
    <row r="51" spans="1:24" s="192" customFormat="1" ht="65.25" hidden="1" customHeight="1">
      <c r="A51" s="139">
        <v>27</v>
      </c>
      <c r="B51" s="163" t="s">
        <v>478</v>
      </c>
      <c r="C51" s="163" t="s">
        <v>77</v>
      </c>
      <c r="D51" s="163"/>
      <c r="E51" s="252" t="s">
        <v>479</v>
      </c>
      <c r="F51" s="163" t="s">
        <v>443</v>
      </c>
      <c r="G51" s="139" t="s">
        <v>296</v>
      </c>
      <c r="H51" s="139">
        <v>1</v>
      </c>
      <c r="I51" s="163">
        <v>24009</v>
      </c>
      <c r="J51" s="140" t="str">
        <f>INDEX('6. data thông tin nhân sự'!C:C, MATCH('04. TH THEO LOẠI TS'!I51, '6. data thông tin nhân sự'!B:B,0))</f>
        <v>Bùi Trịnh Tuệ Khanh</v>
      </c>
      <c r="K51" s="140" t="str">
        <f>INDEX('6. data thông tin nhân sự'!G:G, MATCH('04. TH THEO LOẠI TS'!I51, '6. data thông tin nhân sự'!B:B,0))</f>
        <v>Thiết kế - Design</v>
      </c>
      <c r="L51" s="163" t="str">
        <f>INDEX('6. data thông tin nhân sự'!D:D, MATCH('04. TH THEO LOẠI TS'!I51, '6. data thông tin nhân sự'!B:B,0))</f>
        <v>Chính thức</v>
      </c>
      <c r="M51" s="139"/>
      <c r="N51" s="231">
        <v>46204</v>
      </c>
      <c r="O51" s="163"/>
      <c r="P51" s="163" t="s">
        <v>298</v>
      </c>
      <c r="Q51" s="163"/>
      <c r="R51" s="163"/>
      <c r="S51" s="163"/>
      <c r="T51" s="163"/>
      <c r="U51" s="163"/>
      <c r="V51" s="163"/>
      <c r="W51" s="163"/>
    </row>
    <row r="52" spans="1:24" s="192" customFormat="1" ht="65.25" hidden="1" customHeight="1">
      <c r="A52" s="139">
        <v>28</v>
      </c>
      <c r="B52" s="163" t="s">
        <v>187</v>
      </c>
      <c r="C52" s="163" t="s">
        <v>77</v>
      </c>
      <c r="D52" s="163"/>
      <c r="E52" s="252" t="s">
        <v>485</v>
      </c>
      <c r="F52" s="163" t="s">
        <v>443</v>
      </c>
      <c r="G52" s="139" t="s">
        <v>296</v>
      </c>
      <c r="H52" s="139">
        <v>1</v>
      </c>
      <c r="I52" s="149">
        <v>26027</v>
      </c>
      <c r="J52" s="140" t="str">
        <f>INDEX('6. data thông tin nhân sự'!C:C, MATCH('04. TH THEO LOẠI TS'!I52, '6. data thông tin nhân sự'!B:B,0))</f>
        <v>Trần Duy Nam</v>
      </c>
      <c r="K52" s="140" t="str">
        <f>INDEX('6. data thông tin nhân sự'!G:G, MATCH('04. TH THEO LOẠI TS'!I52, '6. data thông tin nhân sự'!B:B,0))</f>
        <v>Thiết kế - Design</v>
      </c>
      <c r="L52" s="163" t="str">
        <f>INDEX('6. data thông tin nhân sự'!D:D, MATCH('04. TH THEO LOẠI TS'!I52, '6. data thông tin nhân sự'!B:B,0))</f>
        <v>Thử việc</v>
      </c>
      <c r="M52" s="139" t="s">
        <v>642</v>
      </c>
      <c r="N52" s="231">
        <v>46204</v>
      </c>
      <c r="O52" s="163"/>
      <c r="P52" s="163" t="s">
        <v>298</v>
      </c>
      <c r="Q52" s="460" t="s">
        <v>486</v>
      </c>
      <c r="R52" s="163"/>
      <c r="S52" s="163"/>
      <c r="T52" s="163"/>
      <c r="U52" s="163"/>
      <c r="V52" s="163"/>
      <c r="W52" s="163"/>
    </row>
    <row r="53" spans="1:24" s="192" customFormat="1" ht="65.25" hidden="1" customHeight="1">
      <c r="A53" s="139">
        <v>29</v>
      </c>
      <c r="B53" s="163" t="s">
        <v>503</v>
      </c>
      <c r="C53" s="163" t="s">
        <v>77</v>
      </c>
      <c r="D53" s="163"/>
      <c r="E53" s="252" t="s">
        <v>504</v>
      </c>
      <c r="F53" s="163" t="s">
        <v>492</v>
      </c>
      <c r="G53" s="139" t="s">
        <v>296</v>
      </c>
      <c r="H53" s="139">
        <v>1</v>
      </c>
      <c r="I53" s="163">
        <v>25039</v>
      </c>
      <c r="J53" s="140" t="str">
        <f>INDEX('6. data thông tin nhân sự'!C:C, MATCH('04. TH THEO LOẠI TS'!I53, '6. data thông tin nhân sự'!B:B,0))</f>
        <v>Nguyễn Thị Thu Hoài</v>
      </c>
      <c r="K53" s="140" t="str">
        <f>INDEX('6. data thông tin nhân sự'!G:G, MATCH('04. TH THEO LOẠI TS'!I53, '6. data thông tin nhân sự'!B:B,0))</f>
        <v>Tài chính &amp; Kế toán  - Finance &amp; Accounting</v>
      </c>
      <c r="L53" s="163" t="str">
        <f>INDEX('6. data thông tin nhân sự'!D:D, MATCH('04. TH THEO LOẠI TS'!I53, '6. data thông tin nhân sự'!B:B,0))</f>
        <v>Chính thức</v>
      </c>
      <c r="M53" s="139"/>
      <c r="N53" s="231">
        <v>46204</v>
      </c>
      <c r="O53" s="231"/>
      <c r="P53" s="163" t="s">
        <v>298</v>
      </c>
      <c r="Q53" s="163"/>
      <c r="R53" s="163"/>
      <c r="S53" s="164"/>
      <c r="T53" s="164"/>
      <c r="U53" s="164"/>
      <c r="V53" s="164"/>
      <c r="W53" s="164"/>
    </row>
    <row r="54" spans="1:24" s="192" customFormat="1" ht="65.25" hidden="1" customHeight="1">
      <c r="A54" s="139">
        <v>30</v>
      </c>
      <c r="B54" s="163" t="s">
        <v>208</v>
      </c>
      <c r="C54" s="163" t="s">
        <v>77</v>
      </c>
      <c r="E54" s="252" t="s">
        <v>514</v>
      </c>
      <c r="F54" s="163" t="s">
        <v>492</v>
      </c>
      <c r="G54" s="139" t="s">
        <v>296</v>
      </c>
      <c r="H54" s="139">
        <v>1</v>
      </c>
      <c r="I54" s="163">
        <v>24007</v>
      </c>
      <c r="J54" s="140" t="str">
        <f>INDEX('6. data thông tin nhân sự'!C:C, MATCH('04. TH THEO LOẠI TS'!I54, '6. data thông tin nhân sự'!B:B,0))</f>
        <v>Lê Thương Huyền</v>
      </c>
      <c r="K54" s="140" t="str">
        <f>INDEX('6. data thông tin nhân sự'!G:G, MATCH('04. TH THEO LOẠI TS'!I54, '6. data thông tin nhân sự'!B:B,0))</f>
        <v>Tài chính &amp; Kế toán  - Finance &amp; Accounting</v>
      </c>
      <c r="L54" s="163" t="str">
        <f>INDEX('6. data thông tin nhân sự'!D:D, MATCH('04. TH THEO LOẠI TS'!I54, '6. data thông tin nhân sự'!B:B,0))</f>
        <v>Chính thức</v>
      </c>
      <c r="M54" s="139"/>
      <c r="N54" s="231">
        <v>46204</v>
      </c>
      <c r="O54" s="163"/>
      <c r="P54" s="163" t="s">
        <v>298</v>
      </c>
      <c r="Q54" s="163"/>
      <c r="R54" s="163"/>
      <c r="S54" s="163"/>
      <c r="T54" s="163"/>
      <c r="U54" s="163"/>
      <c r="V54" s="163"/>
      <c r="W54" s="163"/>
    </row>
    <row r="55" spans="1:24" s="192" customFormat="1" ht="65.25" hidden="1" customHeight="1">
      <c r="A55" s="139">
        <v>31</v>
      </c>
      <c r="B55" s="163" t="s">
        <v>519</v>
      </c>
      <c r="C55" s="163" t="s">
        <v>77</v>
      </c>
      <c r="D55" s="163"/>
      <c r="E55" s="252" t="s">
        <v>520</v>
      </c>
      <c r="F55" s="163" t="s">
        <v>492</v>
      </c>
      <c r="G55" s="139" t="s">
        <v>296</v>
      </c>
      <c r="H55" s="139">
        <v>1</v>
      </c>
      <c r="I55" s="163">
        <v>25017</v>
      </c>
      <c r="J55" s="140" t="str">
        <f>INDEX('6. data thông tin nhân sự'!C:C, MATCH('04. TH THEO LOẠI TS'!I55, '6. data thông tin nhân sự'!B:B,0))</f>
        <v>Nguyễn Thu Hà</v>
      </c>
      <c r="K55" s="140" t="str">
        <f>INDEX('6. data thông tin nhân sự'!G:G, MATCH('04. TH THEO LOẠI TS'!I55, '6. data thông tin nhân sự'!B:B,0))</f>
        <v>Tài chính &amp; Kế toán  - Finance &amp; Accounting</v>
      </c>
      <c r="L55" s="163" t="str">
        <f>INDEX('6. data thông tin nhân sự'!D:D, MATCH('04. TH THEO LOẠI TS'!I55, '6. data thông tin nhân sự'!B:B,0))</f>
        <v>Chính thức</v>
      </c>
      <c r="M55" s="139"/>
      <c r="N55" s="231">
        <v>46204</v>
      </c>
      <c r="O55" s="163"/>
      <c r="P55" s="163" t="s">
        <v>298</v>
      </c>
      <c r="Q55" s="163"/>
      <c r="R55" s="163"/>
      <c r="S55" s="163"/>
      <c r="T55" s="163"/>
      <c r="U55" s="163"/>
      <c r="V55" s="163"/>
      <c r="W55" s="163"/>
    </row>
    <row r="56" spans="1:24" s="192" customFormat="1" ht="65.25" hidden="1" customHeight="1">
      <c r="A56" s="139">
        <v>32</v>
      </c>
      <c r="B56" s="163" t="s">
        <v>497</v>
      </c>
      <c r="C56" s="163" t="s">
        <v>77</v>
      </c>
      <c r="D56" s="163"/>
      <c r="E56" s="252" t="s">
        <v>498</v>
      </c>
      <c r="F56" s="163" t="s">
        <v>492</v>
      </c>
      <c r="G56" s="139" t="s">
        <v>296</v>
      </c>
      <c r="H56" s="139">
        <v>1</v>
      </c>
      <c r="I56" s="163">
        <v>10004</v>
      </c>
      <c r="J56" s="140" t="str">
        <f>INDEX('6. data thông tin nhân sự'!C:C, MATCH('04. TH THEO LOẠI TS'!I56, '6. data thông tin nhân sự'!B:B,0))</f>
        <v>Nguyễn Phương Anh</v>
      </c>
      <c r="K56" s="140" t="str">
        <f>INDEX('6. data thông tin nhân sự'!G:G, MATCH('04. TH THEO LOẠI TS'!I56, '6. data thông tin nhân sự'!B:B,0))</f>
        <v>Tài chính &amp; Kế toán  - Finance &amp; Accounting</v>
      </c>
      <c r="L56" s="163" t="str">
        <f>INDEX('6. data thông tin nhân sự'!D:D, MATCH('04. TH THEO LOẠI TS'!I56, '6. data thông tin nhân sự'!B:B,0))</f>
        <v>Chính thức</v>
      </c>
      <c r="M56" s="139"/>
      <c r="N56" s="231">
        <v>46204</v>
      </c>
      <c r="O56" s="163"/>
      <c r="P56" s="163" t="s">
        <v>298</v>
      </c>
      <c r="Q56" s="163"/>
      <c r="R56" s="163"/>
      <c r="S56" s="163"/>
      <c r="T56" s="163"/>
      <c r="U56" s="163"/>
      <c r="V56" s="163"/>
      <c r="W56" s="163"/>
    </row>
    <row r="57" spans="1:24" s="192" customFormat="1" ht="65.25" hidden="1" customHeight="1">
      <c r="A57" s="139">
        <v>33</v>
      </c>
      <c r="B57" s="163" t="s">
        <v>490</v>
      </c>
      <c r="C57" s="163" t="s">
        <v>77</v>
      </c>
      <c r="D57" s="163"/>
      <c r="E57" s="252" t="s">
        <v>491</v>
      </c>
      <c r="F57" s="163" t="s">
        <v>492</v>
      </c>
      <c r="G57" s="139" t="s">
        <v>296</v>
      </c>
      <c r="H57" s="139">
        <v>1</v>
      </c>
      <c r="I57" s="163">
        <v>17001</v>
      </c>
      <c r="J57" s="140" t="str">
        <f>INDEX('6. data thông tin nhân sự'!C:C, MATCH('04. TH THEO LOẠI TS'!I57, '6. data thông tin nhân sự'!B:B,0))</f>
        <v>Nguyễn Thị Hồng</v>
      </c>
      <c r="K57" s="140" t="str">
        <f>INDEX('6. data thông tin nhân sự'!G:G, MATCH('04. TH THEO LOẠI TS'!I57, '6. data thông tin nhân sự'!B:B,0))</f>
        <v>Tài chính &amp; Kế toán  - Finance &amp; Accounting</v>
      </c>
      <c r="L57" s="163" t="str">
        <f>INDEX('6. data thông tin nhân sự'!D:D, MATCH('04. TH THEO LOẠI TS'!I57, '6. data thông tin nhân sự'!B:B,0))</f>
        <v>Chính thức</v>
      </c>
      <c r="M57" s="139"/>
      <c r="N57" s="231">
        <v>46204</v>
      </c>
      <c r="O57" s="163"/>
      <c r="P57" s="163" t="s">
        <v>298</v>
      </c>
      <c r="Q57" s="163"/>
      <c r="R57" s="163"/>
      <c r="S57" s="163"/>
      <c r="T57" s="163"/>
      <c r="U57" s="163"/>
      <c r="V57" s="163"/>
      <c r="W57" s="163"/>
    </row>
    <row r="58" spans="1:24" s="192" customFormat="1" ht="65.25" hidden="1" customHeight="1">
      <c r="A58" s="139">
        <v>34</v>
      </c>
      <c r="B58" s="163" t="s">
        <v>215</v>
      </c>
      <c r="C58" s="163" t="s">
        <v>77</v>
      </c>
      <c r="D58" s="523"/>
      <c r="E58" s="527" t="s">
        <v>529</v>
      </c>
      <c r="F58" s="525" t="s">
        <v>492</v>
      </c>
      <c r="G58" s="139" t="s">
        <v>296</v>
      </c>
      <c r="H58" s="139">
        <v>1</v>
      </c>
      <c r="I58" s="163">
        <v>25041</v>
      </c>
      <c r="J58" s="140" t="str">
        <f>INDEX('6. data thông tin nhân sự'!C:C, MATCH('04. TH THEO LOẠI TS'!I58, '6. data thông tin nhân sự'!B:B,0))</f>
        <v>Bùi Hữu Đức</v>
      </c>
      <c r="K58" s="140" t="str">
        <f>INDEX('6. data thông tin nhân sự'!G:G, MATCH('04. TH THEO LOẠI TS'!I58, '6. data thông tin nhân sự'!B:B,0))</f>
        <v>Tài chính &amp; Kế toán  - Finance &amp; Accounting</v>
      </c>
      <c r="L58" s="163" t="str">
        <f>INDEX('6. data thông tin nhân sự'!D:D, MATCH('04. TH THEO LOẠI TS'!I58, '6. data thông tin nhân sự'!B:B,0))</f>
        <v>Chính thức</v>
      </c>
      <c r="M58" s="139"/>
      <c r="N58" s="231">
        <v>46202</v>
      </c>
      <c r="O58" s="163"/>
      <c r="P58" s="163" t="s">
        <v>298</v>
      </c>
      <c r="Q58" s="163"/>
      <c r="R58" s="163"/>
      <c r="S58" s="163"/>
      <c r="T58" s="163"/>
      <c r="U58" s="163"/>
      <c r="V58" s="163"/>
      <c r="W58" s="163"/>
    </row>
    <row r="59" spans="1:24" s="192" customFormat="1" ht="65.25" hidden="1" customHeight="1">
      <c r="A59" s="139">
        <v>35</v>
      </c>
      <c r="B59" s="163" t="s">
        <v>219</v>
      </c>
      <c r="C59" s="163" t="s">
        <v>77</v>
      </c>
      <c r="D59" s="163"/>
      <c r="E59" s="252" t="s">
        <v>529</v>
      </c>
      <c r="F59" s="163" t="s">
        <v>534</v>
      </c>
      <c r="G59" s="139" t="s">
        <v>296</v>
      </c>
      <c r="H59" s="139">
        <v>1</v>
      </c>
      <c r="I59" s="163">
        <v>25021</v>
      </c>
      <c r="J59" s="140" t="str">
        <f>INDEX('6. data thông tin nhân sự'!C:C, MATCH('04. TH THEO LOẠI TS'!I59, '6. data thông tin nhân sự'!B:B,0))</f>
        <v>Ngô Thị Hồng Hải</v>
      </c>
      <c r="K59" s="140" t="str">
        <f>INDEX('6. data thông tin nhân sự'!G:G, MATCH('04. TH THEO LOẠI TS'!I59, '6. data thông tin nhân sự'!B:B,0))</f>
        <v>Hành chính nhân sự - HR &amp; Admin</v>
      </c>
      <c r="L59" s="163" t="str">
        <f>INDEX('6. data thông tin nhân sự'!D:D, MATCH('04. TH THEO LOẠI TS'!I59, '6. data thông tin nhân sự'!B:B,0))</f>
        <v>Chính thức</v>
      </c>
      <c r="M59" s="139"/>
      <c r="N59" s="231">
        <v>46204</v>
      </c>
      <c r="O59" s="163"/>
      <c r="P59" s="163" t="s">
        <v>298</v>
      </c>
      <c r="Q59" s="163"/>
      <c r="R59" s="163"/>
      <c r="S59" s="163"/>
      <c r="T59" s="163"/>
      <c r="U59" s="163"/>
      <c r="V59" s="163"/>
      <c r="W59" s="163"/>
    </row>
    <row r="60" spans="1:24" s="192" customFormat="1" ht="65.25" hidden="1" customHeight="1">
      <c r="A60" s="139">
        <v>36</v>
      </c>
      <c r="B60" s="163" t="s">
        <v>222</v>
      </c>
      <c r="C60" s="163" t="s">
        <v>77</v>
      </c>
      <c r="D60" s="163"/>
      <c r="E60" s="252" t="s">
        <v>529</v>
      </c>
      <c r="F60" s="163" t="s">
        <v>534</v>
      </c>
      <c r="G60" s="139" t="s">
        <v>296</v>
      </c>
      <c r="H60" s="139">
        <v>1</v>
      </c>
      <c r="I60" s="163">
        <v>26028</v>
      </c>
      <c r="J60" s="140" t="str">
        <f>INDEX('6. data thông tin nhân sự'!C:C, MATCH('04. TH THEO LOẠI TS'!I60, '6. data thông tin nhân sự'!B:B,0))</f>
        <v>Hoàng Thị Thu Trang</v>
      </c>
      <c r="K60" s="140" t="str">
        <f>INDEX('6. data thông tin nhân sự'!G:G, MATCH('04. TH THEO LOẠI TS'!I60, '6. data thông tin nhân sự'!B:B,0))</f>
        <v>Hành chính nhân sự - HR &amp; Admin</v>
      </c>
      <c r="L60" s="163" t="str">
        <f>INDEX('6. data thông tin nhân sự'!D:D, MATCH('04. TH THEO LOẠI TS'!I60, '6. data thông tin nhân sự'!B:B,0))</f>
        <v>Thử việc</v>
      </c>
      <c r="M60" s="139"/>
      <c r="N60" s="231">
        <v>46204</v>
      </c>
      <c r="O60" s="163"/>
      <c r="P60" s="163" t="s">
        <v>298</v>
      </c>
      <c r="Q60" s="140"/>
      <c r="R60" s="140"/>
      <c r="S60" s="428"/>
      <c r="T60" s="428"/>
      <c r="U60" s="140"/>
      <c r="V60" s="140"/>
      <c r="W60" s="140"/>
    </row>
    <row r="61" spans="1:24" s="192" customFormat="1" ht="65.25" hidden="1" customHeight="1">
      <c r="A61" s="139">
        <v>37</v>
      </c>
      <c r="B61" s="163" t="s">
        <v>541</v>
      </c>
      <c r="C61" s="163" t="s">
        <v>77</v>
      </c>
      <c r="D61" s="163"/>
      <c r="E61" s="252" t="s">
        <v>542</v>
      </c>
      <c r="F61" s="163" t="s">
        <v>534</v>
      </c>
      <c r="G61" s="139" t="s">
        <v>296</v>
      </c>
      <c r="H61" s="139">
        <v>1</v>
      </c>
      <c r="I61" s="163">
        <v>26020</v>
      </c>
      <c r="J61" s="140" t="str">
        <f>INDEX('6. data thông tin nhân sự'!C:C, MATCH('04. TH THEO LOẠI TS'!I61, '6. data thông tin nhân sự'!B:B,0))</f>
        <v>Đào Duy Tùng</v>
      </c>
      <c r="K61" s="140" t="str">
        <f>INDEX('6. data thông tin nhân sự'!G:G, MATCH('04. TH THEO LOẠI TS'!I61, '6. data thông tin nhân sự'!B:B,0))</f>
        <v>Hành chính nhân sự - HR &amp; Admin</v>
      </c>
      <c r="L61" s="163" t="str">
        <f>INDEX('6. data thông tin nhân sự'!D:D, MATCH('04. TH THEO LOẠI TS'!I61, '6. data thông tin nhân sự'!B:B,0))</f>
        <v xml:space="preserve">Nghỉ việc </v>
      </c>
      <c r="M61" s="139"/>
      <c r="N61" s="231">
        <v>46204</v>
      </c>
      <c r="O61" s="231"/>
      <c r="P61" s="163" t="s">
        <v>298</v>
      </c>
      <c r="Q61" s="163"/>
      <c r="R61" s="163"/>
      <c r="S61" s="164" t="s">
        <v>544</v>
      </c>
      <c r="T61" s="164" t="s">
        <v>545</v>
      </c>
      <c r="U61" s="163"/>
      <c r="V61" s="163"/>
      <c r="W61" s="163"/>
    </row>
    <row r="62" spans="1:24" s="155" customFormat="1" ht="60" hidden="1" customHeight="1">
      <c r="A62" s="139">
        <v>38</v>
      </c>
      <c r="B62" s="163" t="s">
        <v>116</v>
      </c>
      <c r="C62" s="163" t="s">
        <v>77</v>
      </c>
      <c r="D62" s="163"/>
      <c r="E62" s="252" t="s">
        <v>555</v>
      </c>
      <c r="F62" s="140" t="s">
        <v>556</v>
      </c>
      <c r="G62" s="139" t="s">
        <v>296</v>
      </c>
      <c r="H62" s="139">
        <v>1</v>
      </c>
      <c r="I62" s="163">
        <v>25043</v>
      </c>
      <c r="J62" s="140" t="str">
        <f>INDEX('6. data thông tin nhân sự'!C:C, MATCH('04. TH THEO LOẠI TS'!I62, '6. data thông tin nhân sự'!B:B,0))</f>
        <v>Đỗ Mỹ Linh</v>
      </c>
      <c r="K62" s="140" t="str">
        <f>INDEX('6. data thông tin nhân sự'!G:G, MATCH('04. TH THEO LOẠI TS'!I62, '6. data thông tin nhân sự'!B:B,0))</f>
        <v>Dự án - Project</v>
      </c>
      <c r="L62" s="163" t="str">
        <f>INDEX('6. data thông tin nhân sự'!D:D, MATCH('04. TH THEO LOẠI TS'!I62, '6. data thông tin nhân sự'!B:B,0))</f>
        <v>Chính thức</v>
      </c>
      <c r="M62" s="139"/>
      <c r="N62" s="231">
        <v>46204</v>
      </c>
      <c r="O62" s="163"/>
      <c r="P62" s="163" t="s">
        <v>298</v>
      </c>
      <c r="Q62" s="163"/>
      <c r="R62" s="163"/>
      <c r="S62" s="164" t="s">
        <v>558</v>
      </c>
      <c r="T62" s="163"/>
      <c r="U62" s="163"/>
      <c r="V62" s="163"/>
      <c r="W62" s="163"/>
      <c r="X62" s="192"/>
    </row>
    <row r="63" spans="1:24" s="192" customFormat="1" ht="33.75" hidden="1" customHeight="1">
      <c r="A63" s="139">
        <v>39</v>
      </c>
      <c r="B63" s="163" t="s">
        <v>212</v>
      </c>
      <c r="C63" s="163" t="s">
        <v>77</v>
      </c>
      <c r="D63" s="163"/>
      <c r="E63" s="163"/>
      <c r="F63" s="163" t="s">
        <v>526</v>
      </c>
      <c r="G63" s="139" t="s">
        <v>296</v>
      </c>
      <c r="H63" s="139">
        <v>1</v>
      </c>
      <c r="I63" s="163"/>
      <c r="J63" s="163"/>
      <c r="K63" s="163"/>
      <c r="L63" s="163"/>
      <c r="M63" s="163"/>
      <c r="N63" s="231"/>
      <c r="O63" s="163"/>
      <c r="P63" s="156" t="s">
        <v>564</v>
      </c>
      <c r="Q63" s="163"/>
      <c r="R63" s="163" t="s">
        <v>643</v>
      </c>
      <c r="S63" s="163"/>
      <c r="T63" s="163"/>
      <c r="U63" s="163"/>
      <c r="V63" s="163"/>
      <c r="W63" s="163"/>
      <c r="X63" s="431"/>
    </row>
    <row r="64" spans="1:24" s="192" customFormat="1" ht="33.75" hidden="1" customHeight="1">
      <c r="A64" s="139">
        <v>40</v>
      </c>
      <c r="B64" s="163" t="s">
        <v>579</v>
      </c>
      <c r="C64" s="163" t="s">
        <v>77</v>
      </c>
      <c r="D64" s="163"/>
      <c r="E64" s="163"/>
      <c r="F64" s="163" t="s">
        <v>526</v>
      </c>
      <c r="G64" s="139" t="s">
        <v>296</v>
      </c>
      <c r="H64" s="139">
        <v>1</v>
      </c>
      <c r="I64" s="163"/>
      <c r="J64" s="163"/>
      <c r="K64" s="163"/>
      <c r="L64" s="163"/>
      <c r="M64" s="163"/>
      <c r="N64" s="231"/>
      <c r="O64" s="163"/>
      <c r="P64" s="156" t="s">
        <v>564</v>
      </c>
      <c r="Q64" s="163"/>
      <c r="R64" s="163"/>
      <c r="S64" s="164" t="s">
        <v>580</v>
      </c>
      <c r="T64" s="163"/>
      <c r="U64" s="163"/>
      <c r="V64" s="163"/>
      <c r="W64" s="163"/>
      <c r="X64" s="431"/>
    </row>
    <row r="65" spans="1:24" s="192" customFormat="1" ht="33.75" hidden="1" customHeight="1">
      <c r="A65" s="251"/>
      <c r="B65" s="251" t="s">
        <v>644</v>
      </c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155"/>
    </row>
    <row r="66" spans="1:24" s="192" customFormat="1" ht="33.75" hidden="1" customHeight="1">
      <c r="A66" s="139">
        <v>1</v>
      </c>
      <c r="B66" s="163" t="s">
        <v>593</v>
      </c>
      <c r="C66" s="163" t="s">
        <v>78</v>
      </c>
      <c r="D66" s="163" t="s">
        <v>299</v>
      </c>
      <c r="E66" s="163"/>
      <c r="F66" s="163" t="s">
        <v>295</v>
      </c>
      <c r="G66" s="139" t="s">
        <v>296</v>
      </c>
      <c r="H66" s="139">
        <v>1</v>
      </c>
      <c r="I66" s="163"/>
      <c r="J66" s="140"/>
      <c r="K66" s="140" t="e">
        <f>INDEX('6. data thông tin nhân sự'!G:G, MATCH('04. TH THEO LOẠI TS'!I66, '6. data thông tin nhân sự'!B:B,0))</f>
        <v>#N/A</v>
      </c>
      <c r="L66" s="163" t="e">
        <f>INDEX('6. data thông tin nhân sự'!D:D, MATCH('04. TH THEO LOẠI TS'!I66, '6. data thông tin nhân sự'!B:B,0))</f>
        <v>#N/A</v>
      </c>
      <c r="M66" s="531"/>
      <c r="N66" s="231">
        <v>46204</v>
      </c>
      <c r="O66" s="163"/>
      <c r="P66" s="156" t="s">
        <v>564</v>
      </c>
      <c r="Q66" s="163"/>
      <c r="R66" s="163"/>
      <c r="S66" s="163"/>
      <c r="T66" s="163"/>
      <c r="U66" s="163"/>
      <c r="V66" s="163"/>
      <c r="W66" s="163"/>
    </row>
    <row r="67" spans="1:24" s="192" customFormat="1" ht="33.75" hidden="1" customHeight="1">
      <c r="A67" s="139">
        <v>2</v>
      </c>
      <c r="B67" s="163" t="s">
        <v>602</v>
      </c>
      <c r="C67" s="163" t="s">
        <v>78</v>
      </c>
      <c r="D67" s="163" t="s">
        <v>299</v>
      </c>
      <c r="E67" s="163"/>
      <c r="F67" s="163" t="s">
        <v>295</v>
      </c>
      <c r="G67" s="139" t="s">
        <v>296</v>
      </c>
      <c r="H67" s="139">
        <v>1</v>
      </c>
      <c r="I67" s="163"/>
      <c r="J67" s="140"/>
      <c r="K67" s="140" t="e">
        <f>INDEX('6. data thông tin nhân sự'!G:G, MATCH('04. TH THEO LOẠI TS'!I67, '6. data thông tin nhân sự'!B:B,0))</f>
        <v>#N/A</v>
      </c>
      <c r="L67" s="163" t="e">
        <f>INDEX('6. data thông tin nhân sự'!D:D, MATCH('04. TH THEO LOẠI TS'!I67, '6. data thông tin nhân sự'!B:B,0))</f>
        <v>#N/A</v>
      </c>
      <c r="M67" s="140"/>
      <c r="N67" s="231">
        <v>46204</v>
      </c>
      <c r="O67" s="163"/>
      <c r="P67" s="156" t="s">
        <v>564</v>
      </c>
      <c r="Q67" s="163"/>
      <c r="R67" s="163"/>
      <c r="S67" s="164" t="s">
        <v>603</v>
      </c>
      <c r="T67" s="149" t="s">
        <v>601</v>
      </c>
      <c r="U67" s="163"/>
      <c r="V67" s="163"/>
      <c r="W67" s="163"/>
    </row>
    <row r="68" spans="1:24" s="160" customFormat="1" ht="27.75" hidden="1" customHeight="1">
      <c r="A68" s="139">
        <v>3</v>
      </c>
      <c r="B68" s="163" t="s">
        <v>144</v>
      </c>
      <c r="C68" s="163" t="s">
        <v>78</v>
      </c>
      <c r="D68" s="163" t="s">
        <v>299</v>
      </c>
      <c r="E68" s="163"/>
      <c r="F68" s="163" t="s">
        <v>295</v>
      </c>
      <c r="G68" s="139" t="s">
        <v>296</v>
      </c>
      <c r="H68" s="139">
        <v>1</v>
      </c>
      <c r="I68" s="163">
        <v>24004</v>
      </c>
      <c r="J68" s="140" t="str">
        <f>INDEX('6. data thông tin nhân sự'!C:C, MATCH('04. TH THEO LOẠI TS'!I68, '6. data thông tin nhân sự'!B:B,0))</f>
        <v>Vũ Anh Duy</v>
      </c>
      <c r="K68" s="140" t="str">
        <f>INDEX('6. data thông tin nhân sự'!G:G, MATCH('04. TH THEO LOẠI TS'!I68, '6. data thông tin nhân sự'!B:B,0))</f>
        <v>Sản xuất Video - Video Prodution</v>
      </c>
      <c r="L68" s="163" t="str">
        <f>INDEX('6. data thông tin nhân sự'!D:D, MATCH('04. TH THEO LOẠI TS'!I68, '6. data thông tin nhân sự'!B:B,0))</f>
        <v>Chính thức</v>
      </c>
      <c r="M68" s="140"/>
      <c r="N68" s="231">
        <v>46202</v>
      </c>
      <c r="O68" s="163"/>
      <c r="P68" s="163" t="s">
        <v>298</v>
      </c>
      <c r="Q68" s="460" t="s">
        <v>121</v>
      </c>
      <c r="R68" s="557" t="s">
        <v>300</v>
      </c>
      <c r="S68" s="163"/>
      <c r="T68" s="163"/>
      <c r="U68" s="163"/>
      <c r="V68" s="163"/>
      <c r="W68" s="163"/>
      <c r="X68" s="192"/>
    </row>
    <row r="69" spans="1:24" s="160" customFormat="1" ht="27.75" hidden="1" customHeight="1">
      <c r="A69" s="139">
        <v>4</v>
      </c>
      <c r="B69" s="163" t="s">
        <v>146</v>
      </c>
      <c r="C69" s="163" t="s">
        <v>78</v>
      </c>
      <c r="D69" s="163" t="s">
        <v>299</v>
      </c>
      <c r="E69" s="163"/>
      <c r="F69" s="163" t="s">
        <v>295</v>
      </c>
      <c r="G69" s="139" t="s">
        <v>296</v>
      </c>
      <c r="H69" s="139">
        <v>1</v>
      </c>
      <c r="I69" s="163">
        <v>24004</v>
      </c>
      <c r="J69" s="140" t="str">
        <f>INDEX('6. data thông tin nhân sự'!C:C, MATCH('04. TH THEO LOẠI TS'!I69, '6. data thông tin nhân sự'!B:B,0))</f>
        <v>Vũ Anh Duy</v>
      </c>
      <c r="K69" s="140" t="str">
        <f>INDEX('6. data thông tin nhân sự'!G:G, MATCH('04. TH THEO LOẠI TS'!I69, '6. data thông tin nhân sự'!B:B,0))</f>
        <v>Sản xuất Video - Video Prodution</v>
      </c>
      <c r="L69" s="163" t="str">
        <f>INDEX('6. data thông tin nhân sự'!D:D, MATCH('04. TH THEO LOẠI TS'!I69, '6. data thông tin nhân sự'!B:B,0))</f>
        <v>Chính thức</v>
      </c>
      <c r="M69" s="140"/>
      <c r="N69" s="231">
        <v>46202</v>
      </c>
      <c r="O69" s="163"/>
      <c r="P69" s="163" t="s">
        <v>298</v>
      </c>
      <c r="Q69" s="532"/>
      <c r="R69" s="558"/>
      <c r="S69" s="163"/>
      <c r="T69" s="163"/>
      <c r="U69" s="163"/>
      <c r="V69" s="163"/>
      <c r="W69" s="163"/>
      <c r="X69" s="192"/>
    </row>
    <row r="70" spans="1:24" s="160" customFormat="1" ht="27.75" hidden="1" customHeight="1">
      <c r="A70" s="139">
        <v>5</v>
      </c>
      <c r="B70" s="163" t="s">
        <v>150</v>
      </c>
      <c r="C70" s="163" t="s">
        <v>78</v>
      </c>
      <c r="D70" s="163" t="s">
        <v>305</v>
      </c>
      <c r="E70" s="163"/>
      <c r="F70" s="163" t="s">
        <v>295</v>
      </c>
      <c r="G70" s="139" t="s">
        <v>296</v>
      </c>
      <c r="H70" s="139">
        <v>1</v>
      </c>
      <c r="I70" s="163">
        <v>25026</v>
      </c>
      <c r="J70" s="140" t="str">
        <f>INDEX('6. data thông tin nhân sự'!C:C, MATCH('04. TH THEO LOẠI TS'!I70, '6. data thông tin nhân sự'!B:B,0))</f>
        <v>Vũ Hoàng Duy</v>
      </c>
      <c r="K70" s="140" t="str">
        <f>INDEX('6. data thông tin nhân sự'!G:G, MATCH('04. TH THEO LOẠI TS'!I70, '6. data thông tin nhân sự'!B:B,0))</f>
        <v>Sản xuất Video - Video Prodution</v>
      </c>
      <c r="L70" s="163" t="str">
        <f>INDEX('6. data thông tin nhân sự'!D:D, MATCH('04. TH THEO LOẠI TS'!I70, '6. data thông tin nhân sự'!B:B,0))</f>
        <v>Chính thức</v>
      </c>
      <c r="M70" s="139"/>
      <c r="N70" s="231">
        <v>46204</v>
      </c>
      <c r="O70" s="163"/>
      <c r="P70" s="163" t="s">
        <v>298</v>
      </c>
      <c r="Q70" s="460" t="s">
        <v>121</v>
      </c>
      <c r="R70" s="557" t="s">
        <v>306</v>
      </c>
      <c r="S70" s="163"/>
      <c r="T70" s="163"/>
      <c r="U70" s="163"/>
      <c r="V70" s="163"/>
      <c r="W70" s="163"/>
      <c r="X70" s="192"/>
    </row>
    <row r="71" spans="1:24" s="160" customFormat="1" ht="27.75" hidden="1" customHeight="1">
      <c r="A71" s="139">
        <v>6</v>
      </c>
      <c r="B71" s="163" t="s">
        <v>152</v>
      </c>
      <c r="C71" s="163" t="s">
        <v>78</v>
      </c>
      <c r="D71" s="163" t="s">
        <v>305</v>
      </c>
      <c r="E71" s="163"/>
      <c r="F71" s="163" t="s">
        <v>295</v>
      </c>
      <c r="G71" s="139" t="s">
        <v>296</v>
      </c>
      <c r="H71" s="139">
        <v>1</v>
      </c>
      <c r="I71" s="163">
        <v>25026</v>
      </c>
      <c r="J71" s="140" t="str">
        <f>INDEX('6. data thông tin nhân sự'!C:C, MATCH('04. TH THEO LOẠI TS'!I71, '6. data thông tin nhân sự'!B:B,0))</f>
        <v>Vũ Hoàng Duy</v>
      </c>
      <c r="K71" s="140" t="str">
        <f>INDEX('6. data thông tin nhân sự'!G:G, MATCH('04. TH THEO LOẠI TS'!I71, '6. data thông tin nhân sự'!B:B,0))</f>
        <v>Sản xuất Video - Video Prodution</v>
      </c>
      <c r="L71" s="163" t="str">
        <f>INDEX('6. data thông tin nhân sự'!D:D, MATCH('04. TH THEO LOẠI TS'!I71, '6. data thông tin nhân sự'!B:B,0))</f>
        <v>Chính thức</v>
      </c>
      <c r="M71" s="139"/>
      <c r="N71" s="231">
        <v>46204</v>
      </c>
      <c r="O71" s="163"/>
      <c r="P71" s="163" t="s">
        <v>298</v>
      </c>
      <c r="Q71" s="532"/>
      <c r="R71" s="558"/>
      <c r="S71" s="163"/>
      <c r="T71" s="163"/>
      <c r="U71" s="163"/>
      <c r="V71" s="163"/>
      <c r="W71" s="163"/>
      <c r="X71" s="192"/>
    </row>
    <row r="72" spans="1:24" s="160" customFormat="1" ht="27.75" hidden="1" customHeight="1">
      <c r="A72" s="139">
        <v>7</v>
      </c>
      <c r="B72" s="163" t="s">
        <v>124</v>
      </c>
      <c r="C72" s="163" t="s">
        <v>78</v>
      </c>
      <c r="D72" s="163" t="s">
        <v>311</v>
      </c>
      <c r="E72" s="163"/>
      <c r="F72" s="163" t="s">
        <v>295</v>
      </c>
      <c r="G72" s="139" t="s">
        <v>296</v>
      </c>
      <c r="H72" s="139">
        <v>1</v>
      </c>
      <c r="I72" s="163">
        <v>25011</v>
      </c>
      <c r="J72" s="140" t="str">
        <f>INDEX('6. data thông tin nhân sự'!C:C, MATCH('04. TH THEO LOẠI TS'!I72, '6. data thông tin nhân sự'!B:B,0))</f>
        <v>Lê Công Hoàng</v>
      </c>
      <c r="K72" s="140" t="str">
        <f>INDEX('6. data thông tin nhân sự'!G:G, MATCH('04. TH THEO LOẠI TS'!I72, '6. data thông tin nhân sự'!B:B,0))</f>
        <v>Sản xuất Video - Video Prodution</v>
      </c>
      <c r="L72" s="163" t="str">
        <f>INDEX('6. data thông tin nhân sự'!D:D, MATCH('04. TH THEO LOẠI TS'!I72, '6. data thông tin nhân sự'!B:B,0))</f>
        <v>Chính thức</v>
      </c>
      <c r="M72" s="139"/>
      <c r="N72" s="231">
        <v>46204</v>
      </c>
      <c r="O72" s="163"/>
      <c r="P72" s="163" t="s">
        <v>298</v>
      </c>
      <c r="Q72" s="533"/>
      <c r="R72" s="163" t="s">
        <v>312</v>
      </c>
      <c r="S72" s="163"/>
      <c r="T72" s="163"/>
      <c r="U72" s="163"/>
      <c r="V72" s="163"/>
      <c r="W72" s="163"/>
      <c r="X72" s="192"/>
    </row>
    <row r="73" spans="1:24" s="160" customFormat="1" ht="27.75" hidden="1" customHeight="1">
      <c r="A73" s="139">
        <v>8</v>
      </c>
      <c r="B73" s="163" t="s">
        <v>131</v>
      </c>
      <c r="C73" s="163" t="s">
        <v>78</v>
      </c>
      <c r="D73" s="163" t="s">
        <v>311</v>
      </c>
      <c r="E73" s="163"/>
      <c r="F73" s="163" t="s">
        <v>295</v>
      </c>
      <c r="G73" s="139" t="s">
        <v>296</v>
      </c>
      <c r="H73" s="139">
        <v>1</v>
      </c>
      <c r="I73" s="163">
        <v>25011</v>
      </c>
      <c r="J73" s="140" t="str">
        <f>INDEX('6. data thông tin nhân sự'!C:C, MATCH('04. TH THEO LOẠI TS'!I73, '6. data thông tin nhân sự'!B:B,0))</f>
        <v>Lê Công Hoàng</v>
      </c>
      <c r="K73" s="140" t="str">
        <f>INDEX('6. data thông tin nhân sự'!G:G, MATCH('04. TH THEO LOẠI TS'!I73, '6. data thông tin nhân sự'!B:B,0))</f>
        <v>Sản xuất Video - Video Prodution</v>
      </c>
      <c r="L73" s="163" t="str">
        <f>INDEX('6. data thông tin nhân sự'!D:D, MATCH('04. TH THEO LOẠI TS'!I73, '6. data thông tin nhân sự'!B:B,0))</f>
        <v>Chính thức</v>
      </c>
      <c r="M73" s="139"/>
      <c r="N73" s="231">
        <v>46204</v>
      </c>
      <c r="O73" s="163"/>
      <c r="P73" s="163" t="s">
        <v>298</v>
      </c>
      <c r="Q73" s="533"/>
      <c r="R73" s="163" t="s">
        <v>313</v>
      </c>
      <c r="S73" s="163"/>
      <c r="T73" s="163"/>
      <c r="U73" s="163"/>
      <c r="V73" s="163"/>
      <c r="W73" s="163"/>
      <c r="X73" s="192"/>
    </row>
    <row r="74" spans="1:24" s="160" customFormat="1" ht="27.75" hidden="1" customHeight="1">
      <c r="A74" s="139">
        <v>9</v>
      </c>
      <c r="B74" s="163" t="s">
        <v>319</v>
      </c>
      <c r="C74" s="163" t="s">
        <v>78</v>
      </c>
      <c r="D74" s="163" t="s">
        <v>299</v>
      </c>
      <c r="E74" s="163"/>
      <c r="F74" s="163" t="s">
        <v>295</v>
      </c>
      <c r="G74" s="139" t="s">
        <v>296</v>
      </c>
      <c r="H74" s="139">
        <v>1</v>
      </c>
      <c r="I74" s="163">
        <v>25032</v>
      </c>
      <c r="J74" s="140" t="str">
        <f>INDEX('6. data thông tin nhân sự'!C:C, MATCH('04. TH THEO LOẠI TS'!I74, '6. data thông tin nhân sự'!B:B,0))</f>
        <v>Nguyễn Ngọc Thắng</v>
      </c>
      <c r="K74" s="140" t="str">
        <f>INDEX('6. data thông tin nhân sự'!G:G, MATCH('04. TH THEO LOẠI TS'!I74, '6. data thông tin nhân sự'!B:B,0))</f>
        <v>Sản xuất Video - Video Prodution</v>
      </c>
      <c r="L74" s="163" t="str">
        <f>INDEX('6. data thông tin nhân sự'!D:D, MATCH('04. TH THEO LOẠI TS'!I74, '6. data thông tin nhân sự'!B:B,0))</f>
        <v>Chính thức</v>
      </c>
      <c r="M74" s="139"/>
      <c r="N74" s="231">
        <v>46204</v>
      </c>
      <c r="O74" s="163"/>
      <c r="P74" s="163" t="s">
        <v>298</v>
      </c>
      <c r="Q74" s="163"/>
      <c r="R74" s="163"/>
      <c r="S74" s="163"/>
      <c r="T74" s="163"/>
      <c r="U74" s="163"/>
      <c r="V74" s="163"/>
      <c r="W74" s="163"/>
      <c r="X74" s="192"/>
    </row>
    <row r="75" spans="1:24" s="160" customFormat="1" ht="27.75" hidden="1" customHeight="1">
      <c r="A75" s="139">
        <v>10</v>
      </c>
      <c r="B75" s="163" t="s">
        <v>132</v>
      </c>
      <c r="C75" s="163" t="s">
        <v>78</v>
      </c>
      <c r="D75" s="163" t="s">
        <v>299</v>
      </c>
      <c r="E75" s="163"/>
      <c r="F75" s="163" t="s">
        <v>295</v>
      </c>
      <c r="G75" s="139" t="s">
        <v>296</v>
      </c>
      <c r="H75" s="139">
        <v>1</v>
      </c>
      <c r="I75" s="163">
        <v>25032</v>
      </c>
      <c r="J75" s="140" t="str">
        <f>INDEX('6. data thông tin nhân sự'!C:C, MATCH('04. TH THEO LOẠI TS'!I75, '6. data thông tin nhân sự'!B:B,0))</f>
        <v>Nguyễn Ngọc Thắng</v>
      </c>
      <c r="K75" s="140" t="str">
        <f>INDEX('6. data thông tin nhân sự'!G:G, MATCH('04. TH THEO LOẠI TS'!I75, '6. data thông tin nhân sự'!B:B,0))</f>
        <v>Sản xuất Video - Video Prodution</v>
      </c>
      <c r="L75" s="163" t="str">
        <f>INDEX('6. data thông tin nhân sự'!D:D, MATCH('04. TH THEO LOẠI TS'!I75, '6. data thông tin nhân sự'!B:B,0))</f>
        <v>Chính thức</v>
      </c>
      <c r="M75" s="139"/>
      <c r="N75" s="231">
        <v>46204</v>
      </c>
      <c r="O75" s="163"/>
      <c r="P75" s="163" t="s">
        <v>298</v>
      </c>
      <c r="Q75" s="534" t="s">
        <v>121</v>
      </c>
      <c r="R75" s="163" t="s">
        <v>320</v>
      </c>
      <c r="S75" s="163"/>
      <c r="T75" s="163"/>
      <c r="U75" s="163"/>
      <c r="V75" s="163"/>
      <c r="W75" s="163"/>
      <c r="X75" s="192"/>
    </row>
    <row r="76" spans="1:24" s="160" customFormat="1" ht="27.75" hidden="1" customHeight="1">
      <c r="A76" s="139">
        <v>11</v>
      </c>
      <c r="B76" s="163" t="s">
        <v>328</v>
      </c>
      <c r="C76" s="163" t="s">
        <v>78</v>
      </c>
      <c r="D76" s="163" t="s">
        <v>311</v>
      </c>
      <c r="E76" s="163"/>
      <c r="F76" s="163" t="s">
        <v>295</v>
      </c>
      <c r="G76" s="139" t="s">
        <v>296</v>
      </c>
      <c r="H76" s="139">
        <v>1</v>
      </c>
      <c r="I76" s="163">
        <v>25045</v>
      </c>
      <c r="J76" s="140" t="str">
        <f>INDEX('6. data thông tin nhân sự'!C:C, MATCH('04. TH THEO LOẠI TS'!I76, '6. data thông tin nhân sự'!B:B,0))</f>
        <v>Nguyễn Anh Tuấn</v>
      </c>
      <c r="K76" s="140" t="str">
        <f>INDEX('6. data thông tin nhân sự'!G:G, MATCH('04. TH THEO LOẠI TS'!I76, '6. data thông tin nhân sự'!B:B,0))</f>
        <v>Sản xuất Video - Video Prodution</v>
      </c>
      <c r="L76" s="163" t="str">
        <f>INDEX('6. data thông tin nhân sự'!D:D, MATCH('04. TH THEO LOẠI TS'!I76, '6. data thông tin nhân sự'!B:B,0))</f>
        <v>Chính thức</v>
      </c>
      <c r="M76" s="139"/>
      <c r="N76" s="231">
        <v>46204</v>
      </c>
      <c r="O76" s="163"/>
      <c r="P76" s="163" t="s">
        <v>298</v>
      </c>
      <c r="Q76" s="426" t="s">
        <v>330</v>
      </c>
      <c r="R76" s="140"/>
      <c r="S76" s="164" t="s">
        <v>331</v>
      </c>
      <c r="T76" s="140"/>
      <c r="U76" s="140"/>
      <c r="V76" s="140"/>
      <c r="W76" s="140"/>
      <c r="X76" s="192"/>
    </row>
    <row r="77" spans="1:24" s="160" customFormat="1" ht="27.75" hidden="1" customHeight="1">
      <c r="A77" s="139">
        <v>12</v>
      </c>
      <c r="B77" s="163" t="s">
        <v>332</v>
      </c>
      <c r="C77" s="163" t="s">
        <v>78</v>
      </c>
      <c r="D77" s="163" t="s">
        <v>311</v>
      </c>
      <c r="E77" s="163"/>
      <c r="F77" s="163" t="s">
        <v>295</v>
      </c>
      <c r="G77" s="139" t="s">
        <v>296</v>
      </c>
      <c r="H77" s="139">
        <v>1</v>
      </c>
      <c r="I77" s="163">
        <v>25045</v>
      </c>
      <c r="J77" s="140" t="str">
        <f>INDEX('6. data thông tin nhân sự'!C:C, MATCH('04. TH THEO LOẠI TS'!I77, '6. data thông tin nhân sự'!B:B,0))</f>
        <v>Nguyễn Anh Tuấn</v>
      </c>
      <c r="K77" s="140" t="str">
        <f>INDEX('6. data thông tin nhân sự'!G:G, MATCH('04. TH THEO LOẠI TS'!I77, '6. data thông tin nhân sự'!B:B,0))</f>
        <v>Sản xuất Video - Video Prodution</v>
      </c>
      <c r="L77" s="163" t="str">
        <f>INDEX('6. data thông tin nhân sự'!D:D, MATCH('04. TH THEO LOẠI TS'!I77, '6. data thông tin nhân sự'!B:B,0))</f>
        <v>Chính thức</v>
      </c>
      <c r="M77" s="139"/>
      <c r="N77" s="231">
        <v>46204</v>
      </c>
      <c r="O77" s="163"/>
      <c r="P77" s="163" t="s">
        <v>298</v>
      </c>
      <c r="Q77" s="426"/>
      <c r="R77" s="140"/>
      <c r="S77" s="164" t="s">
        <v>331</v>
      </c>
      <c r="T77" s="140"/>
      <c r="U77" s="140"/>
      <c r="V77" s="140"/>
      <c r="W77" s="140"/>
      <c r="X77" s="192"/>
    </row>
    <row r="78" spans="1:24" s="160" customFormat="1" ht="27.75" hidden="1" customHeight="1">
      <c r="A78" s="139">
        <v>13</v>
      </c>
      <c r="B78" s="163" t="s">
        <v>336</v>
      </c>
      <c r="C78" s="163" t="s">
        <v>78</v>
      </c>
      <c r="D78" s="163" t="s">
        <v>337</v>
      </c>
      <c r="E78" s="163"/>
      <c r="F78" s="163" t="s">
        <v>295</v>
      </c>
      <c r="G78" s="139" t="s">
        <v>296</v>
      </c>
      <c r="H78" s="139">
        <v>1</v>
      </c>
      <c r="I78" s="163">
        <v>25046</v>
      </c>
      <c r="J78" s="140" t="str">
        <f>INDEX('6. data thông tin nhân sự'!C:C, MATCH('04. TH THEO LOẠI TS'!I78, '6. data thông tin nhân sự'!B:B,0))</f>
        <v>Phùng Vân Anh</v>
      </c>
      <c r="K78" s="140" t="str">
        <f>INDEX('6. data thông tin nhân sự'!G:G, MATCH('04. TH THEO LOẠI TS'!I78, '6. data thông tin nhân sự'!B:B,0))</f>
        <v>Sản xuất Video - Video Prodution</v>
      </c>
      <c r="L78" s="163" t="str">
        <f>INDEX('6. data thông tin nhân sự'!D:D, MATCH('04. TH THEO LOẠI TS'!I78, '6. data thông tin nhân sự'!B:B,0))</f>
        <v>Chính thức</v>
      </c>
      <c r="M78" s="139"/>
      <c r="N78" s="231">
        <v>46204</v>
      </c>
      <c r="O78" s="163"/>
      <c r="P78" s="163" t="s">
        <v>298</v>
      </c>
      <c r="Q78" s="163"/>
      <c r="R78" s="163"/>
      <c r="S78" s="164" t="s">
        <v>338</v>
      </c>
      <c r="T78" s="163"/>
      <c r="U78" s="163"/>
      <c r="V78" s="163"/>
      <c r="W78" s="163"/>
      <c r="X78" s="192"/>
    </row>
    <row r="79" spans="1:24" s="160" customFormat="1" ht="27.75" hidden="1" customHeight="1">
      <c r="A79" s="139">
        <v>14</v>
      </c>
      <c r="B79" s="163" t="s">
        <v>339</v>
      </c>
      <c r="C79" s="163" t="s">
        <v>78</v>
      </c>
      <c r="D79" s="163" t="s">
        <v>337</v>
      </c>
      <c r="E79" s="163"/>
      <c r="F79" s="163" t="s">
        <v>295</v>
      </c>
      <c r="G79" s="139" t="s">
        <v>296</v>
      </c>
      <c r="H79" s="139">
        <v>1</v>
      </c>
      <c r="I79" s="163">
        <v>25046</v>
      </c>
      <c r="J79" s="140" t="str">
        <f>INDEX('6. data thông tin nhân sự'!C:C, MATCH('04. TH THEO LOẠI TS'!I79, '6. data thông tin nhân sự'!B:B,0))</f>
        <v>Phùng Vân Anh</v>
      </c>
      <c r="K79" s="140" t="str">
        <f>INDEX('6. data thông tin nhân sự'!G:G, MATCH('04. TH THEO LOẠI TS'!I79, '6. data thông tin nhân sự'!B:B,0))</f>
        <v>Sản xuất Video - Video Prodution</v>
      </c>
      <c r="L79" s="163" t="str">
        <f>INDEX('6. data thông tin nhân sự'!D:D, MATCH('04. TH THEO LOẠI TS'!I79, '6. data thông tin nhân sự'!B:B,0))</f>
        <v>Chính thức</v>
      </c>
      <c r="M79" s="139"/>
      <c r="N79" s="231">
        <v>46204</v>
      </c>
      <c r="O79" s="163"/>
      <c r="P79" s="163" t="s">
        <v>298</v>
      </c>
      <c r="Q79" s="163"/>
      <c r="R79" s="163"/>
      <c r="S79" s="164" t="s">
        <v>340</v>
      </c>
      <c r="T79" s="164" t="s">
        <v>341</v>
      </c>
      <c r="U79" s="163"/>
      <c r="V79" s="163"/>
      <c r="W79" s="163"/>
      <c r="X79" s="192"/>
    </row>
    <row r="80" spans="1:24" s="160" customFormat="1" ht="27.75" hidden="1" customHeight="1">
      <c r="A80" s="139">
        <v>15</v>
      </c>
      <c r="B80" s="163" t="s">
        <v>350</v>
      </c>
      <c r="C80" s="163" t="s">
        <v>78</v>
      </c>
      <c r="D80" s="163" t="s">
        <v>299</v>
      </c>
      <c r="E80" s="163"/>
      <c r="F80" s="163" t="s">
        <v>345</v>
      </c>
      <c r="G80" s="139" t="s">
        <v>296</v>
      </c>
      <c r="H80" s="139">
        <v>1</v>
      </c>
      <c r="I80" s="163">
        <v>20002</v>
      </c>
      <c r="J80" s="140" t="str">
        <f>INDEX('6. data thông tin nhân sự'!C:C, MATCH('04. TH THEO LOẠI TS'!I80, '6. data thông tin nhân sự'!B:B,0))</f>
        <v>Đào Thị Thùy</v>
      </c>
      <c r="K80" s="140" t="str">
        <f>INDEX('6. data thông tin nhân sự'!G:G, MATCH('04. TH THEO LOẠI TS'!I80, '6. data thông tin nhân sự'!B:B,0))</f>
        <v>Truyền thông - Marketing</v>
      </c>
      <c r="L80" s="163" t="str">
        <f>INDEX('6. data thông tin nhân sự'!D:D, MATCH('04. TH THEO LOẠI TS'!I80, '6. data thông tin nhân sự'!B:B,0))</f>
        <v>Chính thức</v>
      </c>
      <c r="M80" s="529"/>
      <c r="N80" s="231">
        <v>45839</v>
      </c>
      <c r="O80" s="163"/>
      <c r="P80" s="163" t="s">
        <v>298</v>
      </c>
      <c r="Q80" s="163"/>
      <c r="R80" s="163"/>
      <c r="S80" s="163"/>
      <c r="T80" s="163"/>
      <c r="U80" s="163"/>
      <c r="V80" s="163"/>
      <c r="W80" s="163"/>
      <c r="X80" s="192"/>
    </row>
    <row r="81" spans="1:24" s="160" customFormat="1" ht="27.75" hidden="1" customHeight="1">
      <c r="A81" s="139">
        <v>16</v>
      </c>
      <c r="B81" s="163" t="s">
        <v>355</v>
      </c>
      <c r="C81" s="163" t="s">
        <v>78</v>
      </c>
      <c r="D81" s="163" t="s">
        <v>299</v>
      </c>
      <c r="E81" s="163"/>
      <c r="F81" s="163" t="s">
        <v>345</v>
      </c>
      <c r="G81" s="139" t="s">
        <v>296</v>
      </c>
      <c r="H81" s="139">
        <v>1</v>
      </c>
      <c r="I81" s="163">
        <v>22002</v>
      </c>
      <c r="J81" s="140" t="str">
        <f>INDEX('6. data thông tin nhân sự'!C:C, MATCH('04. TH THEO LOẠI TS'!I81, '6. data thông tin nhân sự'!B:B,0))</f>
        <v>Ngô Khánh Vi</v>
      </c>
      <c r="K81" s="140" t="str">
        <f>INDEX('6. data thông tin nhân sự'!G:G, MATCH('04. TH THEO LOẠI TS'!I81, '6. data thông tin nhân sự'!B:B,0))</f>
        <v>Truyền thông - Marketing</v>
      </c>
      <c r="L81" s="163" t="str">
        <f>INDEX('6. data thông tin nhân sự'!D:D, MATCH('04. TH THEO LOẠI TS'!I81, '6. data thông tin nhân sự'!B:B,0))</f>
        <v>Chính thức</v>
      </c>
      <c r="M81" s="139"/>
      <c r="N81" s="231">
        <v>46204</v>
      </c>
      <c r="O81" s="163"/>
      <c r="P81" s="163" t="s">
        <v>298</v>
      </c>
      <c r="Q81" s="163"/>
      <c r="R81" s="163"/>
      <c r="S81" s="163"/>
      <c r="T81" s="163"/>
      <c r="U81" s="163"/>
      <c r="V81" s="163"/>
      <c r="W81" s="163"/>
      <c r="X81" s="192"/>
    </row>
    <row r="82" spans="1:24" s="160" customFormat="1" ht="27.75" hidden="1" customHeight="1">
      <c r="A82" s="139">
        <v>17</v>
      </c>
      <c r="B82" s="163" t="s">
        <v>248</v>
      </c>
      <c r="C82" s="163" t="s">
        <v>78</v>
      </c>
      <c r="D82" s="163" t="s">
        <v>299</v>
      </c>
      <c r="E82" s="163"/>
      <c r="F82" s="163" t="s">
        <v>373</v>
      </c>
      <c r="G82" s="139" t="s">
        <v>296</v>
      </c>
      <c r="H82" s="139">
        <v>1</v>
      </c>
      <c r="I82" s="163">
        <v>26023</v>
      </c>
      <c r="J82" s="140" t="str">
        <f>INDEX('6. data thông tin nhân sự'!C:C, MATCH('04. TH THEO LOẠI TS'!I82, '6. data thông tin nhân sự'!B:B,0))</f>
        <v>Lê Đức Minh</v>
      </c>
      <c r="K82" s="140" t="str">
        <f>INDEX('6. data thông tin nhân sự'!G:G, MATCH('04. TH THEO LOẠI TS'!I82, '6. data thông tin nhân sự'!B:B,0))</f>
        <v>Sáng tạo - Creative</v>
      </c>
      <c r="L82" s="163" t="str">
        <f>INDEX('6. data thông tin nhân sự'!D:D, MATCH('04. TH THEO LOẠI TS'!I82, '6. data thông tin nhân sự'!B:B,0))</f>
        <v>Thử việc</v>
      </c>
      <c r="M82" s="140"/>
      <c r="N82" s="231">
        <v>46237</v>
      </c>
      <c r="O82" s="163"/>
      <c r="P82" s="163" t="s">
        <v>298</v>
      </c>
      <c r="Q82" s="163"/>
      <c r="R82" s="163"/>
      <c r="S82" s="163" t="s">
        <v>641</v>
      </c>
      <c r="T82" s="163"/>
      <c r="U82" s="163"/>
      <c r="V82" s="163"/>
      <c r="W82" s="163"/>
      <c r="X82" s="192"/>
    </row>
    <row r="83" spans="1:24" s="160" customFormat="1" ht="27.75" hidden="1" customHeight="1">
      <c r="A83" s="139">
        <v>18</v>
      </c>
      <c r="B83" s="163" t="s">
        <v>386</v>
      </c>
      <c r="C83" s="163" t="s">
        <v>78</v>
      </c>
      <c r="D83" s="163" t="s">
        <v>299</v>
      </c>
      <c r="E83" s="163"/>
      <c r="F83" s="163" t="s">
        <v>373</v>
      </c>
      <c r="G83" s="139" t="s">
        <v>296</v>
      </c>
      <c r="H83" s="139">
        <v>1</v>
      </c>
      <c r="I83" s="163">
        <v>24003</v>
      </c>
      <c r="J83" s="140" t="str">
        <f>INDEX('6. data thông tin nhân sự'!C:C, MATCH('04. TH THEO LOẠI TS'!I83, '6. data thông tin nhân sự'!B:B,0))</f>
        <v>Nguyễn Thị Hà Giang</v>
      </c>
      <c r="K83" s="140" t="str">
        <f>INDEX('6. data thông tin nhân sự'!G:G, MATCH('04. TH THEO LOẠI TS'!I83, '6. data thông tin nhân sự'!B:B,0))</f>
        <v>Sáng tạo - Creative</v>
      </c>
      <c r="L83" s="163" t="str">
        <f>INDEX('6. data thông tin nhân sự'!D:D, MATCH('04. TH THEO LOẠI TS'!I83, '6. data thông tin nhân sự'!B:B,0))</f>
        <v>Chính thức</v>
      </c>
      <c r="M83" s="163"/>
      <c r="N83" s="231">
        <v>46217</v>
      </c>
      <c r="O83" s="163"/>
      <c r="P83" s="163" t="s">
        <v>298</v>
      </c>
      <c r="Q83" s="163"/>
      <c r="R83" s="163"/>
      <c r="S83" s="163"/>
      <c r="T83" s="163"/>
      <c r="U83" s="163"/>
      <c r="V83" s="163"/>
      <c r="W83" s="163"/>
      <c r="X83" s="192"/>
    </row>
    <row r="84" spans="1:24" s="160" customFormat="1" ht="27.75" hidden="1" customHeight="1">
      <c r="A84" s="139">
        <v>19</v>
      </c>
      <c r="B84" s="163" t="s">
        <v>395</v>
      </c>
      <c r="C84" s="163" t="s">
        <v>78</v>
      </c>
      <c r="D84" s="163" t="s">
        <v>299</v>
      </c>
      <c r="E84" s="163"/>
      <c r="F84" s="163" t="s">
        <v>373</v>
      </c>
      <c r="G84" s="139" t="s">
        <v>296</v>
      </c>
      <c r="H84" s="139">
        <v>1</v>
      </c>
      <c r="I84" s="163">
        <v>26001</v>
      </c>
      <c r="J84" s="140" t="str">
        <f>INDEX('6. data thông tin nhân sự'!C:C, MATCH('04. TH THEO LOẠI TS'!I84, '6. data thông tin nhân sự'!B:B,0))</f>
        <v>Tô Hồng Đức</v>
      </c>
      <c r="K84" s="140" t="str">
        <f>INDEX('6. data thông tin nhân sự'!G:G, MATCH('04. TH THEO LOẠI TS'!I84, '6. data thông tin nhân sự'!B:B,0))</f>
        <v>Sáng tạo - Creative</v>
      </c>
      <c r="L84" s="163" t="str">
        <f>INDEX('6. data thông tin nhân sự'!D:D, MATCH('04. TH THEO LOẠI TS'!I84, '6. data thông tin nhân sự'!B:B,0))</f>
        <v>Chính thức</v>
      </c>
      <c r="M84" s="140"/>
      <c r="N84" s="231">
        <v>46217</v>
      </c>
      <c r="O84" s="163"/>
      <c r="P84" s="163" t="s">
        <v>298</v>
      </c>
      <c r="Q84" s="163"/>
      <c r="R84" s="163"/>
      <c r="S84" s="163"/>
      <c r="T84" s="163"/>
      <c r="U84" s="163"/>
      <c r="V84" s="163"/>
      <c r="W84" s="163"/>
      <c r="X84" s="192"/>
    </row>
    <row r="85" spans="1:24" s="160" customFormat="1" ht="27.75" hidden="1" customHeight="1">
      <c r="A85" s="139">
        <v>20</v>
      </c>
      <c r="B85" s="163" t="s">
        <v>375</v>
      </c>
      <c r="C85" s="163" t="s">
        <v>78</v>
      </c>
      <c r="D85" s="163" t="s">
        <v>299</v>
      </c>
      <c r="E85" s="163"/>
      <c r="F85" s="163" t="s">
        <v>373</v>
      </c>
      <c r="G85" s="139" t="s">
        <v>296</v>
      </c>
      <c r="H85" s="139">
        <v>1</v>
      </c>
      <c r="I85" s="163">
        <v>21003</v>
      </c>
      <c r="J85" s="140" t="str">
        <f>INDEX('6. data thông tin nhân sự'!C:C, MATCH('04. TH THEO LOẠI TS'!I85, '6. data thông tin nhân sự'!B:B,0))</f>
        <v>Đặng Đức Hoàng</v>
      </c>
      <c r="K85" s="140" t="str">
        <f>INDEX('6. data thông tin nhân sự'!G:G, MATCH('04. TH THEO LOẠI TS'!I85, '6. data thông tin nhân sự'!B:B,0))</f>
        <v>Sáng tạo - Creative</v>
      </c>
      <c r="L85" s="163" t="str">
        <f>INDEX('6. data thông tin nhân sự'!D:D, MATCH('04. TH THEO LOẠI TS'!I85, '6. data thông tin nhân sự'!B:B,0))</f>
        <v>Chính thức</v>
      </c>
      <c r="M85" s="163"/>
      <c r="N85" s="231">
        <v>46217</v>
      </c>
      <c r="O85" s="163"/>
      <c r="P85" s="163" t="s">
        <v>298</v>
      </c>
      <c r="Q85" s="163"/>
      <c r="R85" s="164"/>
      <c r="S85" s="163"/>
      <c r="T85" s="163"/>
      <c r="U85" s="164"/>
      <c r="V85" s="164"/>
      <c r="W85" s="164"/>
      <c r="X85" s="192"/>
    </row>
    <row r="86" spans="1:24" s="160" customFormat="1" ht="27.75" hidden="1" customHeight="1">
      <c r="A86" s="139">
        <v>21</v>
      </c>
      <c r="B86" s="163" t="s">
        <v>410</v>
      </c>
      <c r="C86" s="163" t="s">
        <v>78</v>
      </c>
      <c r="D86" s="163" t="s">
        <v>299</v>
      </c>
      <c r="E86" s="163"/>
      <c r="F86" s="163" t="s">
        <v>408</v>
      </c>
      <c r="G86" s="139" t="s">
        <v>296</v>
      </c>
      <c r="H86" s="139">
        <v>1</v>
      </c>
      <c r="I86" s="163">
        <v>24001</v>
      </c>
      <c r="J86" s="140" t="str">
        <f>INDEX('6. data thông tin nhân sự'!C:C, MATCH('04. TH THEO LOẠI TS'!I86, '6. data thông tin nhân sự'!B:B,0))</f>
        <v>Lê Lâm Cường</v>
      </c>
      <c r="K86" s="140" t="str">
        <f>INDEX('6. data thông tin nhân sự'!G:G, MATCH('04. TH THEO LOẠI TS'!I86, '6. data thông tin nhân sự'!B:B,0))</f>
        <v>Sự kiện - Event</v>
      </c>
      <c r="L86" s="163" t="str">
        <f>INDEX('6. data thông tin nhân sự'!D:D, MATCH('04. TH THEO LOẠI TS'!I86, '6. data thông tin nhân sự'!B:B,0))</f>
        <v xml:space="preserve">Nghỉ việc </v>
      </c>
      <c r="M86" s="139"/>
      <c r="N86" s="231">
        <v>46204</v>
      </c>
      <c r="O86" s="163"/>
      <c r="P86" s="163" t="s">
        <v>298</v>
      </c>
      <c r="Q86" s="163"/>
      <c r="R86" s="163"/>
      <c r="S86" s="163"/>
      <c r="T86" s="163"/>
      <c r="U86" s="163"/>
      <c r="V86" s="163"/>
      <c r="W86" s="163"/>
      <c r="X86" s="192"/>
    </row>
    <row r="87" spans="1:24" s="160" customFormat="1" ht="27.75" hidden="1" customHeight="1">
      <c r="A87" s="139">
        <v>22</v>
      </c>
      <c r="B87" s="163" t="s">
        <v>138</v>
      </c>
      <c r="C87" s="163" t="s">
        <v>78</v>
      </c>
      <c r="D87" s="163" t="s">
        <v>299</v>
      </c>
      <c r="E87" s="163"/>
      <c r="F87" s="163" t="s">
        <v>408</v>
      </c>
      <c r="G87" s="139" t="s">
        <v>296</v>
      </c>
      <c r="H87" s="139">
        <v>1</v>
      </c>
      <c r="I87" s="163">
        <v>22001</v>
      </c>
      <c r="J87" s="140" t="str">
        <f>INDEX('6. data thông tin nhân sự'!C:C, MATCH('04. TH THEO LOẠI TS'!I87, '6. data thông tin nhân sự'!B:B,0))</f>
        <v>Bùi Xuân Dân</v>
      </c>
      <c r="K87" s="140" t="str">
        <f>INDEX('6. data thông tin nhân sự'!G:G, MATCH('04. TH THEO LOẠI TS'!I87, '6. data thông tin nhân sự'!B:B,0))</f>
        <v>Sự kiện - Event</v>
      </c>
      <c r="L87" s="163" t="str">
        <f>INDEX('6. data thông tin nhân sự'!D:D, MATCH('04. TH THEO LOẠI TS'!I87, '6. data thông tin nhân sự'!B:B,0))</f>
        <v>Chính thức</v>
      </c>
      <c r="M87" s="139"/>
      <c r="N87" s="231">
        <v>46204</v>
      </c>
      <c r="O87" s="163"/>
      <c r="P87" s="163" t="s">
        <v>298</v>
      </c>
      <c r="Q87" s="532"/>
      <c r="R87" s="163" t="s">
        <v>418</v>
      </c>
      <c r="S87" s="163"/>
      <c r="T87" s="163"/>
      <c r="U87" s="163"/>
      <c r="V87" s="163"/>
      <c r="W87" s="163"/>
      <c r="X87" s="192"/>
    </row>
    <row r="88" spans="1:24" s="160" customFormat="1" ht="27.75" hidden="1" customHeight="1">
      <c r="A88" s="139">
        <v>23</v>
      </c>
      <c r="B88" s="163" t="s">
        <v>422</v>
      </c>
      <c r="C88" s="163" t="s">
        <v>78</v>
      </c>
      <c r="D88" s="163" t="s">
        <v>299</v>
      </c>
      <c r="E88" s="163"/>
      <c r="F88" s="163" t="s">
        <v>408</v>
      </c>
      <c r="G88" s="139" t="s">
        <v>296</v>
      </c>
      <c r="H88" s="139">
        <v>1</v>
      </c>
      <c r="I88" s="163">
        <v>23008</v>
      </c>
      <c r="J88" s="140" t="str">
        <f>INDEX('6. data thông tin nhân sự'!C:C, MATCH('04. TH THEO LOẠI TS'!I88, '6. data thông tin nhân sự'!B:B,0))</f>
        <v>Hoàng Hà Giang</v>
      </c>
      <c r="K88" s="140" t="str">
        <f>INDEX('6. data thông tin nhân sự'!G:G, MATCH('04. TH THEO LOẠI TS'!I88, '6. data thông tin nhân sự'!B:B,0))</f>
        <v>Sự kiện - Event</v>
      </c>
      <c r="L88" s="163" t="str">
        <f>INDEX('6. data thông tin nhân sự'!D:D, MATCH('04. TH THEO LOẠI TS'!I88, '6. data thông tin nhân sự'!B:B,0))</f>
        <v>Chính thức</v>
      </c>
      <c r="M88" s="140"/>
      <c r="N88" s="231">
        <v>46204</v>
      </c>
      <c r="O88" s="163"/>
      <c r="P88" s="163" t="s">
        <v>298</v>
      </c>
      <c r="Q88" s="163"/>
      <c r="R88" s="163"/>
      <c r="S88" s="163"/>
      <c r="T88" s="163"/>
      <c r="U88" s="163"/>
      <c r="V88" s="163"/>
      <c r="W88" s="163"/>
      <c r="X88" s="192"/>
    </row>
    <row r="89" spans="1:24" s="160" customFormat="1" ht="27.75" hidden="1" customHeight="1">
      <c r="A89" s="139">
        <v>24</v>
      </c>
      <c r="B89" s="163" t="s">
        <v>426</v>
      </c>
      <c r="C89" s="163" t="s">
        <v>78</v>
      </c>
      <c r="D89" s="163" t="s">
        <v>299</v>
      </c>
      <c r="E89" s="163"/>
      <c r="F89" s="163" t="s">
        <v>408</v>
      </c>
      <c r="G89" s="139" t="s">
        <v>296</v>
      </c>
      <c r="H89" s="139">
        <v>1</v>
      </c>
      <c r="I89" s="163">
        <v>25028</v>
      </c>
      <c r="J89" s="140" t="str">
        <f>INDEX('6. data thông tin nhân sự'!C:C, MATCH('04. TH THEO LOẠI TS'!I89, '6. data thông tin nhân sự'!B:B,0))</f>
        <v>Nguyễn Phương Anh</v>
      </c>
      <c r="K89" s="140" t="str">
        <f>INDEX('6. data thông tin nhân sự'!G:G, MATCH('04. TH THEO LOẠI TS'!I89, '6. data thông tin nhân sự'!B:B,0))</f>
        <v>Sự kiện - Event</v>
      </c>
      <c r="L89" s="163" t="str">
        <f>INDEX('6. data thông tin nhân sự'!D:D, MATCH('04. TH THEO LOẠI TS'!I89, '6. data thông tin nhân sự'!B:B,0))</f>
        <v>Chính thức</v>
      </c>
      <c r="M89" s="139"/>
      <c r="N89" s="231">
        <v>46204</v>
      </c>
      <c r="O89" s="163"/>
      <c r="P89" s="163" t="s">
        <v>298</v>
      </c>
      <c r="Q89" s="163"/>
      <c r="R89" s="163"/>
      <c r="S89" s="163"/>
      <c r="T89" s="163"/>
      <c r="U89" s="163"/>
      <c r="V89" s="163"/>
      <c r="W89" s="163"/>
      <c r="X89" s="192"/>
    </row>
    <row r="90" spans="1:24" s="160" customFormat="1" ht="27.75" hidden="1" customHeight="1">
      <c r="A90" s="139">
        <v>25</v>
      </c>
      <c r="B90" s="163" t="s">
        <v>431</v>
      </c>
      <c r="C90" s="163" t="s">
        <v>78</v>
      </c>
      <c r="D90" s="163" t="s">
        <v>299</v>
      </c>
      <c r="E90" s="163"/>
      <c r="F90" s="163" t="s">
        <v>408</v>
      </c>
      <c r="G90" s="139" t="s">
        <v>296</v>
      </c>
      <c r="H90" s="139">
        <v>1</v>
      </c>
      <c r="I90" s="163">
        <v>25012</v>
      </c>
      <c r="J90" s="140" t="str">
        <f>INDEX('6. data thông tin nhân sự'!C:C, MATCH('04. TH THEO LOẠI TS'!I90, '6. data thông tin nhân sự'!B:B,0))</f>
        <v>Dương Nguyên Bảo</v>
      </c>
      <c r="K90" s="140" t="str">
        <f>INDEX('6. data thông tin nhân sự'!G:G, MATCH('04. TH THEO LOẠI TS'!I90, '6. data thông tin nhân sự'!B:B,0))</f>
        <v>Sự kiện - Event</v>
      </c>
      <c r="L90" s="163" t="str">
        <f>INDEX('6. data thông tin nhân sự'!D:D, MATCH('04. TH THEO LOẠI TS'!I90, '6. data thông tin nhân sự'!B:B,0))</f>
        <v>Chính thức</v>
      </c>
      <c r="M90" s="140"/>
      <c r="N90" s="231">
        <v>46204</v>
      </c>
      <c r="O90" s="163"/>
      <c r="P90" s="163" t="s">
        <v>298</v>
      </c>
      <c r="Q90" s="140"/>
      <c r="R90" s="140"/>
      <c r="S90" s="140"/>
      <c r="T90" s="140"/>
      <c r="U90" s="140"/>
      <c r="V90" s="140"/>
      <c r="W90" s="140"/>
      <c r="X90" s="192"/>
    </row>
    <row r="91" spans="1:24" s="160" customFormat="1" ht="27.75" hidden="1" customHeight="1">
      <c r="A91" s="139">
        <v>26</v>
      </c>
      <c r="B91" s="163" t="s">
        <v>437</v>
      </c>
      <c r="C91" s="163" t="s">
        <v>78</v>
      </c>
      <c r="D91" s="163" t="s">
        <v>299</v>
      </c>
      <c r="E91" s="163"/>
      <c r="F91" s="163" t="s">
        <v>408</v>
      </c>
      <c r="G91" s="139" t="s">
        <v>296</v>
      </c>
      <c r="H91" s="139">
        <v>1</v>
      </c>
      <c r="I91" s="163">
        <v>25030</v>
      </c>
      <c r="J91" s="140" t="str">
        <f>INDEX('6. data thông tin nhân sự'!C:C, MATCH('04. TH THEO LOẠI TS'!I91, '6. data thông tin nhân sự'!B:B,0))</f>
        <v>Hoàng Tuấn Anh</v>
      </c>
      <c r="K91" s="140" t="str">
        <f>INDEX('6. data thông tin nhân sự'!G:G, MATCH('04. TH THEO LOẠI TS'!I91, '6. data thông tin nhân sự'!B:B,0))</f>
        <v>Sự kiện - Event</v>
      </c>
      <c r="L91" s="163" t="str">
        <f>INDEX('6. data thông tin nhân sự'!D:D, MATCH('04. TH THEO LOẠI TS'!I91, '6. data thông tin nhân sự'!B:B,0))</f>
        <v>Chính thức</v>
      </c>
      <c r="M91" s="139"/>
      <c r="N91" s="231">
        <v>46204</v>
      </c>
      <c r="O91" s="163"/>
      <c r="P91" s="163" t="s">
        <v>298</v>
      </c>
      <c r="Q91" s="163"/>
      <c r="R91" s="163"/>
      <c r="S91" s="163"/>
      <c r="T91" s="163"/>
      <c r="U91" s="163"/>
      <c r="V91" s="163"/>
      <c r="W91" s="163"/>
      <c r="X91" s="192"/>
    </row>
    <row r="92" spans="1:24" s="160" customFormat="1" ht="27.75" hidden="1" customHeight="1">
      <c r="A92" s="139">
        <v>27</v>
      </c>
      <c r="B92" s="163" t="s">
        <v>445</v>
      </c>
      <c r="C92" s="163" t="s">
        <v>78</v>
      </c>
      <c r="D92" s="163" t="s">
        <v>299</v>
      </c>
      <c r="E92" s="163"/>
      <c r="F92" s="163" t="s">
        <v>443</v>
      </c>
      <c r="G92" s="139" t="s">
        <v>296</v>
      </c>
      <c r="H92" s="139">
        <v>1</v>
      </c>
      <c r="I92" s="163">
        <v>20001</v>
      </c>
      <c r="J92" s="140" t="str">
        <f>INDEX('6. data thông tin nhân sự'!C:C, MATCH('04. TH THEO LOẠI TS'!I92, '6. data thông tin nhân sự'!B:B,0))</f>
        <v>Hoàng Quốc Nghị</v>
      </c>
      <c r="K92" s="140" t="str">
        <f>INDEX('6. data thông tin nhân sự'!G:G, MATCH('04. TH THEO LOẠI TS'!I92, '6. data thông tin nhân sự'!B:B,0))</f>
        <v>Thiết kế - Design</v>
      </c>
      <c r="L92" s="163" t="str">
        <f>INDEX('6. data thông tin nhân sự'!D:D, MATCH('04. TH THEO LOẠI TS'!I92, '6. data thông tin nhân sự'!B:B,0))</f>
        <v>Chính thức</v>
      </c>
      <c r="M92" s="139"/>
      <c r="N92" s="231">
        <v>46204</v>
      </c>
      <c r="O92" s="163"/>
      <c r="P92" s="163" t="s">
        <v>298</v>
      </c>
      <c r="Q92" s="163"/>
      <c r="R92" s="163"/>
      <c r="S92" s="163"/>
      <c r="T92" s="163"/>
      <c r="U92" s="163"/>
      <c r="V92" s="163"/>
      <c r="W92" s="163"/>
      <c r="X92" s="192"/>
    </row>
    <row r="93" spans="1:24" s="160" customFormat="1" ht="27.75" hidden="1" customHeight="1">
      <c r="A93" s="139">
        <v>28</v>
      </c>
      <c r="B93" s="163" t="s">
        <v>449</v>
      </c>
      <c r="C93" s="163" t="s">
        <v>78</v>
      </c>
      <c r="D93" s="163" t="s">
        <v>299</v>
      </c>
      <c r="E93" s="163"/>
      <c r="F93" s="163" t="s">
        <v>443</v>
      </c>
      <c r="G93" s="139" t="s">
        <v>296</v>
      </c>
      <c r="H93" s="139">
        <v>1</v>
      </c>
      <c r="I93" s="163">
        <v>21002</v>
      </c>
      <c r="J93" s="140" t="str">
        <f>INDEX('6. data thông tin nhân sự'!C:C, MATCH('04. TH THEO LOẠI TS'!I93, '6. data thông tin nhân sự'!B:B,0))</f>
        <v>Nguyễn Phương Mai</v>
      </c>
      <c r="K93" s="140" t="str">
        <f>INDEX('6. data thông tin nhân sự'!G:G, MATCH('04. TH THEO LOẠI TS'!I93, '6. data thông tin nhân sự'!B:B,0))</f>
        <v>Thiết kế - Design</v>
      </c>
      <c r="L93" s="163" t="str">
        <f>INDEX('6. data thông tin nhân sự'!D:D, MATCH('04. TH THEO LOẠI TS'!I93, '6. data thông tin nhân sự'!B:B,0))</f>
        <v>Chính thức</v>
      </c>
      <c r="M93" s="139"/>
      <c r="N93" s="231">
        <v>46204</v>
      </c>
      <c r="O93" s="163"/>
      <c r="P93" s="163" t="s">
        <v>298</v>
      </c>
      <c r="Q93" s="163"/>
      <c r="R93" s="163"/>
      <c r="S93" s="163"/>
      <c r="T93" s="163"/>
      <c r="U93" s="163"/>
      <c r="V93" s="163"/>
      <c r="W93" s="163"/>
      <c r="X93" s="192"/>
    </row>
    <row r="94" spans="1:24" s="160" customFormat="1" ht="27.75" hidden="1" customHeight="1">
      <c r="A94" s="139">
        <v>29</v>
      </c>
      <c r="B94" s="163" t="s">
        <v>454</v>
      </c>
      <c r="C94" s="163" t="s">
        <v>78</v>
      </c>
      <c r="D94" s="163" t="s">
        <v>299</v>
      </c>
      <c r="E94" s="163"/>
      <c r="F94" s="163" t="s">
        <v>443</v>
      </c>
      <c r="G94" s="139" t="s">
        <v>296</v>
      </c>
      <c r="H94" s="139">
        <v>1</v>
      </c>
      <c r="I94" s="163">
        <v>21001</v>
      </c>
      <c r="J94" s="140" t="str">
        <f>INDEX('6. data thông tin nhân sự'!C:C, MATCH('04. TH THEO LOẠI TS'!I94, '6. data thông tin nhân sự'!B:B,0))</f>
        <v>Nguyễn  Việt Thắng</v>
      </c>
      <c r="K94" s="140" t="str">
        <f>INDEX('6. data thông tin nhân sự'!G:G, MATCH('04. TH THEO LOẠI TS'!I94, '6. data thông tin nhân sự'!B:B,0))</f>
        <v>Thiết kế - Design</v>
      </c>
      <c r="L94" s="163" t="str">
        <f>INDEX('6. data thông tin nhân sự'!D:D, MATCH('04. TH THEO LOẠI TS'!I94, '6. data thông tin nhân sự'!B:B,0))</f>
        <v>Chính thức</v>
      </c>
      <c r="M94" s="139"/>
      <c r="N94" s="231">
        <v>46204</v>
      </c>
      <c r="O94" s="163"/>
      <c r="P94" s="163" t="s">
        <v>298</v>
      </c>
      <c r="Q94" s="163"/>
      <c r="R94" s="163"/>
      <c r="S94" s="163"/>
      <c r="T94" s="163"/>
      <c r="U94" s="163"/>
      <c r="V94" s="163"/>
      <c r="W94" s="163"/>
      <c r="X94" s="192"/>
    </row>
    <row r="95" spans="1:24" s="160" customFormat="1" ht="27.75" hidden="1" customHeight="1">
      <c r="A95" s="139">
        <v>30</v>
      </c>
      <c r="B95" s="163" t="s">
        <v>459</v>
      </c>
      <c r="C95" s="163" t="s">
        <v>78</v>
      </c>
      <c r="D95" s="163" t="s">
        <v>299</v>
      </c>
      <c r="E95" s="163"/>
      <c r="F95" s="163" t="s">
        <v>443</v>
      </c>
      <c r="G95" s="139" t="s">
        <v>296</v>
      </c>
      <c r="H95" s="139">
        <v>1</v>
      </c>
      <c r="I95" s="163">
        <v>23001</v>
      </c>
      <c r="J95" s="140" t="str">
        <f>INDEX('6. data thông tin nhân sự'!C:C, MATCH('04. TH THEO LOẠI TS'!I95, '6. data thông tin nhân sự'!B:B,0))</f>
        <v>Thái Thị Thanh Thảo</v>
      </c>
      <c r="K95" s="140" t="str">
        <f>INDEX('6. data thông tin nhân sự'!G:G, MATCH('04. TH THEO LOẠI TS'!I95, '6. data thông tin nhân sự'!B:B,0))</f>
        <v>Thiết kế - Design</v>
      </c>
      <c r="L95" s="163" t="str">
        <f>INDEX('6. data thông tin nhân sự'!D:D, MATCH('04. TH THEO LOẠI TS'!I95, '6. data thông tin nhân sự'!B:B,0))</f>
        <v>Chính thức</v>
      </c>
      <c r="M95" s="139"/>
      <c r="N95" s="231">
        <v>46204</v>
      </c>
      <c r="O95" s="163"/>
      <c r="P95" s="163" t="s">
        <v>298</v>
      </c>
      <c r="Q95" s="163"/>
      <c r="R95" s="163"/>
      <c r="S95" s="163"/>
      <c r="T95" s="163"/>
      <c r="U95" s="163"/>
      <c r="V95" s="163"/>
      <c r="W95" s="163"/>
      <c r="X95" s="192"/>
    </row>
    <row r="96" spans="1:24" s="160" customFormat="1" ht="27.75" hidden="1" customHeight="1">
      <c r="A96" s="139">
        <v>31</v>
      </c>
      <c r="B96" s="163" t="s">
        <v>465</v>
      </c>
      <c r="C96" s="163" t="s">
        <v>78</v>
      </c>
      <c r="D96" s="163" t="s">
        <v>299</v>
      </c>
      <c r="E96" s="163"/>
      <c r="F96" s="163" t="s">
        <v>443</v>
      </c>
      <c r="G96" s="139" t="s">
        <v>296</v>
      </c>
      <c r="H96" s="139">
        <v>1</v>
      </c>
      <c r="I96" s="163">
        <v>26003</v>
      </c>
      <c r="J96" s="140" t="str">
        <f>INDEX('6. data thông tin nhân sự'!C:C, MATCH('04. TH THEO LOẠI TS'!I96, '6. data thông tin nhân sự'!B:B,0))</f>
        <v>Vũ Đăng Duy</v>
      </c>
      <c r="K96" s="140" t="str">
        <f>INDEX('6. data thông tin nhân sự'!G:G, MATCH('04. TH THEO LOẠI TS'!I96, '6. data thông tin nhân sự'!B:B,0))</f>
        <v>Thiết kế - Design</v>
      </c>
      <c r="L96" s="163" t="str">
        <f>INDEX('6. data thông tin nhân sự'!D:D, MATCH('04. TH THEO LOẠI TS'!I96, '6. data thông tin nhân sự'!B:B,0))</f>
        <v>Chính thức</v>
      </c>
      <c r="M96" s="139"/>
      <c r="N96" s="231">
        <v>46204</v>
      </c>
      <c r="O96" s="163"/>
      <c r="P96" s="163" t="s">
        <v>298</v>
      </c>
      <c r="Q96" s="163"/>
      <c r="R96" s="163"/>
      <c r="S96" s="164" t="s">
        <v>464</v>
      </c>
      <c r="T96" s="163"/>
      <c r="U96" s="163"/>
      <c r="V96" s="163"/>
      <c r="W96" s="163"/>
      <c r="X96" s="192"/>
    </row>
    <row r="97" spans="1:24" s="160" customFormat="1" ht="27.75" hidden="1" customHeight="1">
      <c r="A97" s="139">
        <v>32</v>
      </c>
      <c r="B97" s="163" t="s">
        <v>471</v>
      </c>
      <c r="C97" s="163" t="s">
        <v>78</v>
      </c>
      <c r="D97" s="163" t="s">
        <v>299</v>
      </c>
      <c r="E97" s="163"/>
      <c r="F97" s="163" t="s">
        <v>443</v>
      </c>
      <c r="G97" s="139" t="s">
        <v>296</v>
      </c>
      <c r="H97" s="139">
        <v>1</v>
      </c>
      <c r="I97" s="163">
        <v>23002</v>
      </c>
      <c r="J97" s="140" t="str">
        <f>INDEX('6. data thông tin nhân sự'!C:C, MATCH('04. TH THEO LOẠI TS'!I97, '6. data thông tin nhân sự'!B:B,0))</f>
        <v>Vũ Thị Mai Linh</v>
      </c>
      <c r="K97" s="140" t="str">
        <f>INDEX('6. data thông tin nhân sự'!G:G, MATCH('04. TH THEO LOẠI TS'!I97, '6. data thông tin nhân sự'!B:B,0))</f>
        <v>Thiết kế - Design</v>
      </c>
      <c r="L97" s="163" t="str">
        <f>INDEX('6. data thông tin nhân sự'!D:D, MATCH('04. TH THEO LOẠI TS'!I97, '6. data thông tin nhân sự'!B:B,0))</f>
        <v>Chính thức</v>
      </c>
      <c r="M97" s="139"/>
      <c r="N97" s="231">
        <v>46203</v>
      </c>
      <c r="O97" s="163"/>
      <c r="P97" s="163" t="s">
        <v>298</v>
      </c>
      <c r="Q97" s="163"/>
      <c r="R97" s="163"/>
      <c r="S97" s="163"/>
      <c r="T97" s="163"/>
      <c r="U97" s="163"/>
      <c r="V97" s="163"/>
      <c r="W97" s="163"/>
      <c r="X97" s="192"/>
    </row>
    <row r="98" spans="1:24" s="160" customFormat="1" ht="27.75" hidden="1" customHeight="1">
      <c r="A98" s="139">
        <v>33</v>
      </c>
      <c r="B98" s="163" t="s">
        <v>476</v>
      </c>
      <c r="C98" s="163" t="s">
        <v>78</v>
      </c>
      <c r="D98" s="163" t="s">
        <v>299</v>
      </c>
      <c r="E98" s="163"/>
      <c r="F98" s="163" t="s">
        <v>443</v>
      </c>
      <c r="G98" s="139" t="s">
        <v>296</v>
      </c>
      <c r="H98" s="139">
        <v>1</v>
      </c>
      <c r="I98" s="163">
        <v>24006</v>
      </c>
      <c r="J98" s="140" t="str">
        <f>INDEX('6. data thông tin nhân sự'!C:C, MATCH('04. TH THEO LOẠI TS'!I98, '6. data thông tin nhân sự'!B:B,0))</f>
        <v>Nguyễn Thị Thuỷ Tiên</v>
      </c>
      <c r="K98" s="140" t="str">
        <f>INDEX('6. data thông tin nhân sự'!G:G, MATCH('04. TH THEO LOẠI TS'!I98, '6. data thông tin nhân sự'!B:B,0))</f>
        <v>Thiết kế - Design</v>
      </c>
      <c r="L98" s="163" t="str">
        <f>INDEX('6. data thông tin nhân sự'!D:D, MATCH('04. TH THEO LOẠI TS'!I98, '6. data thông tin nhân sự'!B:B,0))</f>
        <v>Chính thức</v>
      </c>
      <c r="M98" s="139"/>
      <c r="N98" s="231">
        <v>46204</v>
      </c>
      <c r="O98" s="163"/>
      <c r="P98" s="163" t="s">
        <v>298</v>
      </c>
      <c r="Q98" s="163"/>
      <c r="R98" s="163"/>
      <c r="S98" s="163"/>
      <c r="T98" s="163"/>
      <c r="U98" s="163"/>
      <c r="V98" s="163"/>
      <c r="W98" s="163"/>
      <c r="X98" s="192"/>
    </row>
    <row r="99" spans="1:24" s="160" customFormat="1" ht="27.75" hidden="1" customHeight="1">
      <c r="A99" s="139">
        <v>34</v>
      </c>
      <c r="B99" s="163" t="s">
        <v>481</v>
      </c>
      <c r="C99" s="163" t="s">
        <v>78</v>
      </c>
      <c r="D99" s="163" t="s">
        <v>299</v>
      </c>
      <c r="E99" s="163"/>
      <c r="F99" s="163" t="s">
        <v>443</v>
      </c>
      <c r="G99" s="139" t="s">
        <v>296</v>
      </c>
      <c r="H99" s="139">
        <v>1</v>
      </c>
      <c r="I99" s="163">
        <v>24009</v>
      </c>
      <c r="J99" s="140" t="str">
        <f>INDEX('6. data thông tin nhân sự'!C:C, MATCH('04. TH THEO LOẠI TS'!I99, '6. data thông tin nhân sự'!B:B,0))</f>
        <v>Bùi Trịnh Tuệ Khanh</v>
      </c>
      <c r="K99" s="140" t="str">
        <f>INDEX('6. data thông tin nhân sự'!G:G, MATCH('04. TH THEO LOẠI TS'!I99, '6. data thông tin nhân sự'!B:B,0))</f>
        <v>Thiết kế - Design</v>
      </c>
      <c r="L99" s="163" t="str">
        <f>INDEX('6. data thông tin nhân sự'!D:D, MATCH('04. TH THEO LOẠI TS'!I99, '6. data thông tin nhân sự'!B:B,0))</f>
        <v>Chính thức</v>
      </c>
      <c r="M99" s="139"/>
      <c r="N99" s="231">
        <v>46204</v>
      </c>
      <c r="O99" s="163"/>
      <c r="P99" s="163" t="s">
        <v>298</v>
      </c>
      <c r="Q99" s="163"/>
      <c r="R99" s="163"/>
      <c r="S99" s="163"/>
      <c r="T99" s="163"/>
      <c r="U99" s="163"/>
      <c r="V99" s="163"/>
      <c r="W99" s="163"/>
      <c r="X99" s="192"/>
    </row>
    <row r="100" spans="1:24" s="160" customFormat="1" ht="27.75" hidden="1" customHeight="1">
      <c r="A100" s="139">
        <v>35</v>
      </c>
      <c r="B100" s="163" t="s">
        <v>191</v>
      </c>
      <c r="C100" s="163" t="s">
        <v>78</v>
      </c>
      <c r="D100" s="163" t="s">
        <v>299</v>
      </c>
      <c r="E100" s="163"/>
      <c r="F100" s="163" t="s">
        <v>443</v>
      </c>
      <c r="G100" s="139" t="s">
        <v>296</v>
      </c>
      <c r="H100" s="139">
        <v>1</v>
      </c>
      <c r="I100" s="149">
        <v>26027</v>
      </c>
      <c r="J100" s="140" t="str">
        <f>INDEX('6. data thông tin nhân sự'!C:C, MATCH('04. TH THEO LOẠI TS'!I100, '6. data thông tin nhân sự'!B:B,0))</f>
        <v>Trần Duy Nam</v>
      </c>
      <c r="K100" s="140" t="str">
        <f>INDEX('6. data thông tin nhân sự'!G:G, MATCH('04. TH THEO LOẠI TS'!I100, '6. data thông tin nhân sự'!B:B,0))</f>
        <v>Thiết kế - Design</v>
      </c>
      <c r="L100" s="163" t="str">
        <f>INDEX('6. data thông tin nhân sự'!D:D, MATCH('04. TH THEO LOẠI TS'!I100, '6. data thông tin nhân sự'!B:B,0))</f>
        <v>Thử việc</v>
      </c>
      <c r="M100" s="139"/>
      <c r="N100" s="231">
        <v>46204</v>
      </c>
      <c r="O100" s="163"/>
      <c r="P100" s="163" t="s">
        <v>298</v>
      </c>
      <c r="Q100" s="533"/>
      <c r="R100" s="163"/>
      <c r="S100" s="163"/>
      <c r="T100" s="163"/>
      <c r="U100" s="163"/>
      <c r="V100" s="163"/>
      <c r="W100" s="163"/>
      <c r="X100" s="192"/>
    </row>
    <row r="101" spans="1:24" s="160" customFormat="1" ht="27.75" hidden="1" customHeight="1">
      <c r="A101" s="139">
        <v>36</v>
      </c>
      <c r="B101" s="163" t="s">
        <v>506</v>
      </c>
      <c r="C101" s="163" t="s">
        <v>78</v>
      </c>
      <c r="D101" s="163" t="s">
        <v>299</v>
      </c>
      <c r="E101" s="163"/>
      <c r="F101" s="163" t="s">
        <v>492</v>
      </c>
      <c r="G101" s="139" t="s">
        <v>296</v>
      </c>
      <c r="H101" s="139">
        <v>1</v>
      </c>
      <c r="I101" s="163">
        <v>25039</v>
      </c>
      <c r="J101" s="140" t="str">
        <f>INDEX('6. data thông tin nhân sự'!C:C, MATCH('04. TH THEO LOẠI TS'!I101, '6. data thông tin nhân sự'!B:B,0))</f>
        <v>Nguyễn Thị Thu Hoài</v>
      </c>
      <c r="K101" s="140" t="str">
        <f>INDEX('6. data thông tin nhân sự'!G:G, MATCH('04. TH THEO LOẠI TS'!I101, '6. data thông tin nhân sự'!B:B,0))</f>
        <v>Tài chính &amp; Kế toán  - Finance &amp; Accounting</v>
      </c>
      <c r="L101" s="163" t="str">
        <f>INDEX('6. data thông tin nhân sự'!D:D, MATCH('04. TH THEO LOẠI TS'!I101, '6. data thông tin nhân sự'!B:B,0))</f>
        <v>Chính thức</v>
      </c>
      <c r="M101" s="139"/>
      <c r="N101" s="231">
        <v>46204</v>
      </c>
      <c r="O101" s="231"/>
      <c r="P101" s="163" t="s">
        <v>298</v>
      </c>
      <c r="Q101" s="163"/>
      <c r="R101" s="163"/>
      <c r="S101" s="164" t="s">
        <v>507</v>
      </c>
      <c r="T101" s="164" t="s">
        <v>508</v>
      </c>
      <c r="U101" s="164"/>
      <c r="V101" s="164" t="s">
        <v>509</v>
      </c>
      <c r="W101" s="164"/>
      <c r="X101" s="192"/>
    </row>
    <row r="102" spans="1:24" s="160" customFormat="1" ht="27.75" hidden="1" customHeight="1">
      <c r="A102" s="139">
        <v>37</v>
      </c>
      <c r="B102" s="163" t="s">
        <v>516</v>
      </c>
      <c r="C102" s="163" t="s">
        <v>78</v>
      </c>
      <c r="D102" s="163" t="s">
        <v>299</v>
      </c>
      <c r="E102" s="163"/>
      <c r="F102" s="163" t="s">
        <v>492</v>
      </c>
      <c r="G102" s="139" t="s">
        <v>296</v>
      </c>
      <c r="H102" s="139">
        <v>1</v>
      </c>
      <c r="I102" s="163">
        <v>24007</v>
      </c>
      <c r="J102" s="140" t="str">
        <f>INDEX('6. data thông tin nhân sự'!C:C, MATCH('04. TH THEO LOẠI TS'!I102, '6. data thông tin nhân sự'!B:B,0))</f>
        <v>Lê Thương Huyền</v>
      </c>
      <c r="K102" s="140" t="str">
        <f>INDEX('6. data thông tin nhân sự'!G:G, MATCH('04. TH THEO LOẠI TS'!I102, '6. data thông tin nhân sự'!B:B,0))</f>
        <v>Tài chính &amp; Kế toán  - Finance &amp; Accounting</v>
      </c>
      <c r="L102" s="163" t="str">
        <f>INDEX('6. data thông tin nhân sự'!D:D, MATCH('04. TH THEO LOẠI TS'!I102, '6. data thông tin nhân sự'!B:B,0))</f>
        <v>Chính thức</v>
      </c>
      <c r="M102" s="139"/>
      <c r="N102" s="231">
        <v>46204</v>
      </c>
      <c r="O102" s="163"/>
      <c r="P102" s="163" t="s">
        <v>298</v>
      </c>
      <c r="Q102" s="163"/>
      <c r="R102" s="163"/>
      <c r="S102" s="163"/>
      <c r="T102" s="163"/>
      <c r="U102" s="163"/>
      <c r="V102" s="163"/>
      <c r="W102" s="163"/>
      <c r="X102" s="192"/>
    </row>
    <row r="103" spans="1:24" s="160" customFormat="1" ht="27.75" hidden="1" customHeight="1">
      <c r="A103" s="139">
        <v>38</v>
      </c>
      <c r="B103" s="163" t="s">
        <v>522</v>
      </c>
      <c r="C103" s="163" t="s">
        <v>78</v>
      </c>
      <c r="D103" s="163" t="s">
        <v>299</v>
      </c>
      <c r="E103" s="163"/>
      <c r="F103" s="163" t="s">
        <v>492</v>
      </c>
      <c r="G103" s="139" t="s">
        <v>296</v>
      </c>
      <c r="H103" s="139">
        <v>1</v>
      </c>
      <c r="I103" s="163">
        <v>25017</v>
      </c>
      <c r="J103" s="140" t="str">
        <f>INDEX('6. data thông tin nhân sự'!C:C, MATCH('04. TH THEO LOẠI TS'!I103, '6. data thông tin nhân sự'!B:B,0))</f>
        <v>Nguyễn Thu Hà</v>
      </c>
      <c r="K103" s="140" t="str">
        <f>INDEX('6. data thông tin nhân sự'!G:G, MATCH('04. TH THEO LOẠI TS'!I103, '6. data thông tin nhân sự'!B:B,0))</f>
        <v>Tài chính &amp; Kế toán  - Finance &amp; Accounting</v>
      </c>
      <c r="L103" s="163" t="str">
        <f>INDEX('6. data thông tin nhân sự'!D:D, MATCH('04. TH THEO LOẠI TS'!I103, '6. data thông tin nhân sự'!B:B,0))</f>
        <v>Chính thức</v>
      </c>
      <c r="M103" s="139"/>
      <c r="N103" s="231">
        <v>46204</v>
      </c>
      <c r="O103" s="163"/>
      <c r="P103" s="163" t="s">
        <v>298</v>
      </c>
      <c r="Q103" s="163"/>
      <c r="R103" s="163"/>
      <c r="S103" s="163"/>
      <c r="T103" s="163"/>
      <c r="U103" s="163"/>
      <c r="V103" s="163"/>
      <c r="W103" s="163"/>
      <c r="X103" s="192"/>
    </row>
    <row r="104" spans="1:24" s="160" customFormat="1" ht="27.75" hidden="1" customHeight="1">
      <c r="A104" s="139">
        <v>39</v>
      </c>
      <c r="B104" s="163" t="s">
        <v>500</v>
      </c>
      <c r="C104" s="163" t="s">
        <v>78</v>
      </c>
      <c r="D104" s="163" t="s">
        <v>299</v>
      </c>
      <c r="E104" s="163"/>
      <c r="F104" s="163" t="s">
        <v>492</v>
      </c>
      <c r="G104" s="139" t="s">
        <v>296</v>
      </c>
      <c r="H104" s="139">
        <v>1</v>
      </c>
      <c r="I104" s="163">
        <v>10004</v>
      </c>
      <c r="J104" s="140" t="str">
        <f>INDEX('6. data thông tin nhân sự'!C:C, MATCH('04. TH THEO LOẠI TS'!I104, '6. data thông tin nhân sự'!B:B,0))</f>
        <v>Nguyễn Phương Anh</v>
      </c>
      <c r="K104" s="140" t="str">
        <f>INDEX('6. data thông tin nhân sự'!G:G, MATCH('04. TH THEO LOẠI TS'!I104, '6. data thông tin nhân sự'!B:B,0))</f>
        <v>Tài chính &amp; Kế toán  - Finance &amp; Accounting</v>
      </c>
      <c r="L104" s="163" t="str">
        <f>INDEX('6. data thông tin nhân sự'!D:D, MATCH('04. TH THEO LOẠI TS'!I104, '6. data thông tin nhân sự'!B:B,0))</f>
        <v>Chính thức</v>
      </c>
      <c r="M104" s="139"/>
      <c r="N104" s="231">
        <v>46204</v>
      </c>
      <c r="O104" s="163"/>
      <c r="P104" s="163" t="s">
        <v>298</v>
      </c>
      <c r="Q104" s="163"/>
      <c r="R104" s="163"/>
      <c r="S104" s="163"/>
      <c r="T104" s="163"/>
      <c r="U104" s="163"/>
      <c r="V104" s="163"/>
      <c r="W104" s="163"/>
      <c r="X104" s="192"/>
    </row>
    <row r="105" spans="1:24" s="160" customFormat="1" ht="27.75" hidden="1" customHeight="1">
      <c r="A105" s="139">
        <v>40</v>
      </c>
      <c r="B105" s="163" t="s">
        <v>494</v>
      </c>
      <c r="C105" s="163" t="s">
        <v>78</v>
      </c>
      <c r="D105" s="163" t="s">
        <v>299</v>
      </c>
      <c r="E105" s="163"/>
      <c r="F105" s="163" t="s">
        <v>492</v>
      </c>
      <c r="G105" s="139" t="s">
        <v>296</v>
      </c>
      <c r="H105" s="139">
        <v>1</v>
      </c>
      <c r="I105" s="163">
        <v>17001</v>
      </c>
      <c r="J105" s="140" t="str">
        <f>INDEX('6. data thông tin nhân sự'!C:C, MATCH('04. TH THEO LOẠI TS'!I105, '6. data thông tin nhân sự'!B:B,0))</f>
        <v>Nguyễn Thị Hồng</v>
      </c>
      <c r="K105" s="140" t="str">
        <f>INDEX('6. data thông tin nhân sự'!G:G, MATCH('04. TH THEO LOẠI TS'!I105, '6. data thông tin nhân sự'!B:B,0))</f>
        <v>Tài chính &amp; Kế toán  - Finance &amp; Accounting</v>
      </c>
      <c r="L105" s="163" t="str">
        <f>INDEX('6. data thông tin nhân sự'!D:D, MATCH('04. TH THEO LOẠI TS'!I105, '6. data thông tin nhân sự'!B:B,0))</f>
        <v>Chính thức</v>
      </c>
      <c r="M105" s="139"/>
      <c r="N105" s="231">
        <v>46204</v>
      </c>
      <c r="O105" s="163"/>
      <c r="P105" s="163" t="s">
        <v>298</v>
      </c>
      <c r="Q105" s="163"/>
      <c r="R105" s="163"/>
      <c r="S105" s="163"/>
      <c r="T105" s="163"/>
      <c r="U105" s="163"/>
      <c r="V105" s="163"/>
      <c r="W105" s="163"/>
      <c r="X105" s="192"/>
    </row>
    <row r="106" spans="1:24" s="160" customFormat="1" ht="27.75" hidden="1" customHeight="1">
      <c r="A106" s="139">
        <v>41</v>
      </c>
      <c r="B106" s="163" t="s">
        <v>604</v>
      </c>
      <c r="C106" s="163" t="s">
        <v>78</v>
      </c>
      <c r="D106" s="163" t="s">
        <v>299</v>
      </c>
      <c r="E106" s="163"/>
      <c r="F106" s="163" t="s">
        <v>564</v>
      </c>
      <c r="G106" s="139" t="s">
        <v>296</v>
      </c>
      <c r="H106" s="139">
        <v>1</v>
      </c>
      <c r="I106" s="163"/>
      <c r="J106" s="140"/>
      <c r="K106" s="140" t="e">
        <f>INDEX('6. data thông tin nhân sự'!G:G, MATCH('04. TH THEO LOẠI TS'!I106, '6. data thông tin nhân sự'!B:B,0))</f>
        <v>#N/A</v>
      </c>
      <c r="L106" s="163" t="e">
        <f>INDEX('6. data thông tin nhân sự'!D:D, MATCH('04. TH THEO LOẠI TS'!I106, '6. data thông tin nhân sự'!B:B,0))</f>
        <v>#N/A</v>
      </c>
      <c r="M106" s="139"/>
      <c r="N106" s="231">
        <v>46202</v>
      </c>
      <c r="O106" s="163"/>
      <c r="P106" s="156" t="s">
        <v>564</v>
      </c>
      <c r="Q106" s="163"/>
      <c r="R106" s="163"/>
      <c r="S106" s="163"/>
      <c r="T106" s="163"/>
      <c r="U106" s="163"/>
      <c r="V106" s="163"/>
      <c r="W106" s="163"/>
      <c r="X106" s="192"/>
    </row>
    <row r="107" spans="1:24" s="160" customFormat="1" ht="27.75" hidden="1" customHeight="1">
      <c r="A107" s="139">
        <v>42</v>
      </c>
      <c r="B107" s="163" t="s">
        <v>539</v>
      </c>
      <c r="C107" s="163" t="s">
        <v>78</v>
      </c>
      <c r="D107" s="163" t="s">
        <v>299</v>
      </c>
      <c r="E107" s="163"/>
      <c r="F107" s="163" t="s">
        <v>534</v>
      </c>
      <c r="G107" s="139" t="s">
        <v>296</v>
      </c>
      <c r="H107" s="139">
        <v>1</v>
      </c>
      <c r="I107" s="163">
        <v>25021</v>
      </c>
      <c r="J107" s="140" t="str">
        <f>INDEX('6. data thông tin nhân sự'!C:C, MATCH('04. TH THEO LOẠI TS'!I107, '6. data thông tin nhân sự'!B:B,0))</f>
        <v>Ngô Thị Hồng Hải</v>
      </c>
      <c r="K107" s="140" t="str">
        <f>INDEX('6. data thông tin nhân sự'!G:G, MATCH('04. TH THEO LOẠI TS'!I107, '6. data thông tin nhân sự'!B:B,0))</f>
        <v>Hành chính nhân sự - HR &amp; Admin</v>
      </c>
      <c r="L107" s="163" t="str">
        <f>INDEX('6. data thông tin nhân sự'!D:D, MATCH('04. TH THEO LOẠI TS'!I107, '6. data thông tin nhân sự'!B:B,0))</f>
        <v>Chính thức</v>
      </c>
      <c r="M107" s="139"/>
      <c r="N107" s="231">
        <v>46204</v>
      </c>
      <c r="O107" s="163"/>
      <c r="P107" s="163" t="s">
        <v>298</v>
      </c>
      <c r="Q107" s="163"/>
      <c r="R107" s="163"/>
      <c r="S107" s="163"/>
      <c r="T107" s="163"/>
      <c r="U107" s="163"/>
      <c r="V107" s="163"/>
      <c r="W107" s="163"/>
      <c r="X107" s="192"/>
    </row>
    <row r="108" spans="1:24" s="160" customFormat="1" ht="27.75" hidden="1" customHeight="1">
      <c r="A108" s="139">
        <v>43</v>
      </c>
      <c r="B108" s="163" t="s">
        <v>532</v>
      </c>
      <c r="C108" s="163" t="s">
        <v>78</v>
      </c>
      <c r="D108" s="163" t="s">
        <v>533</v>
      </c>
      <c r="E108" s="163"/>
      <c r="F108" s="163" t="s">
        <v>534</v>
      </c>
      <c r="G108" s="139" t="s">
        <v>296</v>
      </c>
      <c r="H108" s="139">
        <v>1</v>
      </c>
      <c r="I108" s="163">
        <v>25015</v>
      </c>
      <c r="J108" s="140" t="str">
        <f>INDEX('6. data thông tin nhân sự'!C:C, MATCH('04. TH THEO LOẠI TS'!I108, '6. data thông tin nhân sự'!B:B,0))</f>
        <v>Bạch Thị Lệ Hằng</v>
      </c>
      <c r="K108" s="140" t="str">
        <f>INDEX('6. data thông tin nhân sự'!G:G, MATCH('04. TH THEO LOẠI TS'!I108, '6. data thông tin nhân sự'!B:B,0))</f>
        <v>Hành chính nhân sự - HR &amp; Admin</v>
      </c>
      <c r="L108" s="163" t="str">
        <f>INDEX('6. data thông tin nhân sự'!D:D, MATCH('04. TH THEO LOẠI TS'!I108, '6. data thông tin nhân sự'!B:B,0))</f>
        <v>Chính thức</v>
      </c>
      <c r="M108" s="163"/>
      <c r="N108" s="231">
        <v>46204</v>
      </c>
      <c r="O108" s="163"/>
      <c r="P108" s="163" t="s">
        <v>298</v>
      </c>
      <c r="Q108" s="163"/>
      <c r="R108" s="163"/>
      <c r="S108" s="164" t="s">
        <v>536</v>
      </c>
      <c r="T108" s="164" t="s">
        <v>537</v>
      </c>
      <c r="U108" s="163"/>
      <c r="V108" s="163"/>
      <c r="W108" s="163"/>
      <c r="X108" s="192"/>
    </row>
    <row r="109" spans="1:24" s="160" customFormat="1" ht="27.75" hidden="1" customHeight="1">
      <c r="A109" s="139">
        <v>44</v>
      </c>
      <c r="B109" s="163" t="s">
        <v>550</v>
      </c>
      <c r="C109" s="163" t="s">
        <v>78</v>
      </c>
      <c r="D109" s="163" t="s">
        <v>299</v>
      </c>
      <c r="E109" s="163"/>
      <c r="F109" s="163" t="s">
        <v>534</v>
      </c>
      <c r="G109" s="139" t="s">
        <v>296</v>
      </c>
      <c r="H109" s="139">
        <v>1</v>
      </c>
      <c r="I109" s="163">
        <v>26028</v>
      </c>
      <c r="J109" s="140" t="str">
        <f>INDEX('6. data thông tin nhân sự'!C:C, MATCH('04. TH THEO LOẠI TS'!I109, '6. data thông tin nhân sự'!B:B,0))</f>
        <v>Hoàng Thị Thu Trang</v>
      </c>
      <c r="K109" s="140" t="str">
        <f>INDEX('6. data thông tin nhân sự'!G:G, MATCH('04. TH THEO LOẠI TS'!I109, '6. data thông tin nhân sự'!B:B,0))</f>
        <v>Hành chính nhân sự - HR &amp; Admin</v>
      </c>
      <c r="L109" s="163" t="str">
        <f>INDEX('6. data thông tin nhân sự'!D:D, MATCH('04. TH THEO LOẠI TS'!I109, '6. data thông tin nhân sự'!B:B,0))</f>
        <v>Thử việc</v>
      </c>
      <c r="M109" s="139"/>
      <c r="N109" s="231">
        <v>46204</v>
      </c>
      <c r="O109" s="163"/>
      <c r="P109" s="163" t="s">
        <v>298</v>
      </c>
      <c r="Q109" s="140"/>
      <c r="R109" s="140"/>
      <c r="S109" s="428" t="s">
        <v>568</v>
      </c>
      <c r="T109" s="428"/>
      <c r="U109" s="140"/>
      <c r="V109" s="140"/>
      <c r="W109" s="140"/>
      <c r="X109" s="192"/>
    </row>
    <row r="110" spans="1:24" s="160" customFormat="1" ht="27.75" hidden="1" customHeight="1">
      <c r="A110" s="139">
        <v>45</v>
      </c>
      <c r="B110" s="163" t="s">
        <v>547</v>
      </c>
      <c r="C110" s="163" t="s">
        <v>78</v>
      </c>
      <c r="D110" s="163" t="s">
        <v>299</v>
      </c>
      <c r="E110" s="163"/>
      <c r="F110" s="163" t="s">
        <v>534</v>
      </c>
      <c r="G110" s="139" t="s">
        <v>296</v>
      </c>
      <c r="H110" s="139">
        <v>1</v>
      </c>
      <c r="I110" s="163">
        <v>26020</v>
      </c>
      <c r="J110" s="140" t="str">
        <f>INDEX('6. data thông tin nhân sự'!C:C, MATCH('04. TH THEO LOẠI TS'!I110, '6. data thông tin nhân sự'!B:B,0))</f>
        <v>Đào Duy Tùng</v>
      </c>
      <c r="K110" s="140" t="str">
        <f>INDEX('6. data thông tin nhân sự'!G:G, MATCH('04. TH THEO LOẠI TS'!I110, '6. data thông tin nhân sự'!B:B,0))</f>
        <v>Hành chính nhân sự - HR &amp; Admin</v>
      </c>
      <c r="L110" s="163" t="str">
        <f>INDEX('6. data thông tin nhân sự'!D:D, MATCH('04. TH THEO LOẠI TS'!I110, '6. data thông tin nhân sự'!B:B,0))</f>
        <v xml:space="preserve">Nghỉ việc </v>
      </c>
      <c r="M110" s="139"/>
      <c r="N110" s="231">
        <v>46204</v>
      </c>
      <c r="O110" s="231"/>
      <c r="P110" s="163" t="s">
        <v>298</v>
      </c>
      <c r="Q110" s="163"/>
      <c r="R110" s="163"/>
      <c r="S110" s="164" t="s">
        <v>544</v>
      </c>
      <c r="T110" s="164" t="s">
        <v>545</v>
      </c>
      <c r="U110" s="163"/>
      <c r="V110" s="163"/>
      <c r="W110" s="163"/>
      <c r="X110" s="192"/>
    </row>
    <row r="111" spans="1:24" s="160" customFormat="1" ht="27.75" hidden="1" customHeight="1">
      <c r="A111" s="139">
        <v>46</v>
      </c>
      <c r="B111" s="163" t="s">
        <v>122</v>
      </c>
      <c r="C111" s="163" t="s">
        <v>78</v>
      </c>
      <c r="D111" s="163" t="s">
        <v>299</v>
      </c>
      <c r="E111" s="163"/>
      <c r="F111" s="140" t="s">
        <v>556</v>
      </c>
      <c r="G111" s="139" t="s">
        <v>296</v>
      </c>
      <c r="H111" s="139">
        <v>1</v>
      </c>
      <c r="I111" s="163">
        <v>25043</v>
      </c>
      <c r="J111" s="140" t="str">
        <f>INDEX('6. data thông tin nhân sự'!C:C, MATCH('04. TH THEO LOẠI TS'!I111, '6. data thông tin nhân sự'!B:B,0))</f>
        <v>Đỗ Mỹ Linh</v>
      </c>
      <c r="K111" s="140" t="str">
        <f>INDEX('6. data thông tin nhân sự'!G:G, MATCH('04. TH THEO LOẠI TS'!I111, '6. data thông tin nhân sự'!B:B,0))</f>
        <v>Dự án - Project</v>
      </c>
      <c r="L111" s="163" t="str">
        <f>INDEX('6. data thông tin nhân sự'!D:D, MATCH('04. TH THEO LOẠI TS'!I111, '6. data thông tin nhân sự'!B:B,0))</f>
        <v>Chính thức</v>
      </c>
      <c r="M111" s="139"/>
      <c r="N111" s="231">
        <v>46204</v>
      </c>
      <c r="O111" s="163"/>
      <c r="P111" s="163" t="s">
        <v>298</v>
      </c>
      <c r="Q111" s="163"/>
      <c r="R111" s="163"/>
      <c r="S111" s="164" t="s">
        <v>558</v>
      </c>
      <c r="T111" s="163"/>
      <c r="U111" s="163"/>
      <c r="V111" s="163"/>
      <c r="W111" s="163"/>
      <c r="X111" s="192"/>
    </row>
    <row r="112" spans="1:24" s="160" customFormat="1" ht="27.75" hidden="1" customHeight="1">
      <c r="A112" s="139">
        <v>47</v>
      </c>
      <c r="B112" s="163" t="s">
        <v>560</v>
      </c>
      <c r="C112" s="163" t="s">
        <v>78</v>
      </c>
      <c r="D112" s="163" t="s">
        <v>299</v>
      </c>
      <c r="E112" s="163"/>
      <c r="F112" s="140" t="s">
        <v>556</v>
      </c>
      <c r="G112" s="139" t="s">
        <v>296</v>
      </c>
      <c r="H112" s="139">
        <v>1</v>
      </c>
      <c r="I112" s="140">
        <v>23007</v>
      </c>
      <c r="J112" s="140" t="str">
        <f>INDEX('6. data thông tin nhân sự'!C:C, MATCH('04. TH THEO LOẠI TS'!I112, '6. data thông tin nhân sự'!B:B,0))</f>
        <v>Đặng Thế Quang</v>
      </c>
      <c r="K112" s="140" t="str">
        <f>INDEX('6. data thông tin nhân sự'!G:G, MATCH('04. TH THEO LOẠI TS'!I112, '6. data thông tin nhân sự'!B:B,0))</f>
        <v>Kinh doanh - Account</v>
      </c>
      <c r="L112" s="163" t="str">
        <f>INDEX('6. data thông tin nhân sự'!D:D, MATCH('04. TH THEO LOẠI TS'!I112, '6. data thông tin nhân sự'!B:B,0))</f>
        <v>Chính thức</v>
      </c>
      <c r="M112" s="163"/>
      <c r="N112" s="231">
        <v>46204</v>
      </c>
      <c r="O112" s="163"/>
      <c r="P112" s="163" t="s">
        <v>298</v>
      </c>
      <c r="Q112" s="163"/>
      <c r="R112" s="163"/>
      <c r="S112" s="163"/>
      <c r="T112" s="163"/>
      <c r="U112" s="163"/>
      <c r="V112" s="163"/>
      <c r="W112" s="163"/>
      <c r="X112" s="192"/>
    </row>
    <row r="113" spans="1:24" s="160" customFormat="1" ht="54" hidden="1" customHeight="1">
      <c r="A113" s="139">
        <v>48</v>
      </c>
      <c r="B113" s="163" t="s">
        <v>525</v>
      </c>
      <c r="C113" s="163" t="s">
        <v>78</v>
      </c>
      <c r="D113" s="163"/>
      <c r="E113" s="163"/>
      <c r="F113" s="163" t="s">
        <v>645</v>
      </c>
      <c r="G113" s="139" t="s">
        <v>296</v>
      </c>
      <c r="H113" s="139">
        <v>1</v>
      </c>
      <c r="I113" s="163">
        <v>25041</v>
      </c>
      <c r="J113" s="140" t="str">
        <f>INDEX('6. data thông tin nhân sự'!C:C, MATCH('04. TH THEO LOẠI TS'!I113, '6. data thông tin nhân sự'!B:B,0))</f>
        <v>Bùi Hữu Đức</v>
      </c>
      <c r="K113" s="140" t="str">
        <f>INDEX('6. data thông tin nhân sự'!G:G, MATCH('04. TH THEO LOẠI TS'!I113, '6. data thông tin nhân sự'!B:B,0))</f>
        <v>Tài chính &amp; Kế toán  - Finance &amp; Accounting</v>
      </c>
      <c r="L113" s="163" t="str">
        <f>INDEX('6. data thông tin nhân sự'!D:D, MATCH('04. TH THEO LOẠI TS'!I113, '6. data thông tin nhân sự'!B:B,0))</f>
        <v>Chính thức</v>
      </c>
      <c r="M113" s="163"/>
      <c r="N113" s="231"/>
      <c r="O113" s="163"/>
      <c r="P113" s="156" t="s">
        <v>564</v>
      </c>
      <c r="Q113" s="163"/>
      <c r="R113" s="163"/>
      <c r="S113" s="164" t="s">
        <v>527</v>
      </c>
      <c r="T113" s="163"/>
      <c r="U113" s="163"/>
      <c r="V113" s="163"/>
      <c r="W113" s="163"/>
      <c r="X113" s="192"/>
    </row>
    <row r="114" spans="1:24" s="160" customFormat="1" ht="54" hidden="1" customHeight="1">
      <c r="A114" s="139">
        <v>49</v>
      </c>
      <c r="B114" s="163" t="s">
        <v>581</v>
      </c>
      <c r="C114" s="163" t="s">
        <v>78</v>
      </c>
      <c r="D114" s="163"/>
      <c r="E114" s="163"/>
      <c r="F114" s="163" t="s">
        <v>526</v>
      </c>
      <c r="G114" s="139" t="s">
        <v>296</v>
      </c>
      <c r="H114" s="139">
        <v>1</v>
      </c>
      <c r="I114" s="163"/>
      <c r="J114" s="140"/>
      <c r="K114" s="140"/>
      <c r="L114" s="163" t="e">
        <f>INDEX('6. data thông tin nhân sự'!D:D, MATCH('04. TH THEO LOẠI TS'!I114, '6. data thông tin nhân sự'!B:B,0))</f>
        <v>#N/A</v>
      </c>
      <c r="M114" s="163"/>
      <c r="N114" s="231"/>
      <c r="O114" s="163"/>
      <c r="P114" s="156" t="s">
        <v>564</v>
      </c>
      <c r="Q114" s="163"/>
      <c r="R114" s="163"/>
      <c r="S114" s="164" t="s">
        <v>582</v>
      </c>
      <c r="T114" s="163"/>
      <c r="U114" s="163"/>
      <c r="V114" s="163"/>
      <c r="W114" s="163"/>
      <c r="X114" s="192"/>
    </row>
    <row r="115" spans="1:24" s="160" customFormat="1" ht="27.75" hidden="1" customHeight="1">
      <c r="A115" s="139">
        <v>50</v>
      </c>
      <c r="B115" s="163" t="s">
        <v>583</v>
      </c>
      <c r="C115" s="163" t="s">
        <v>78</v>
      </c>
      <c r="D115" s="163"/>
      <c r="E115" s="163"/>
      <c r="F115" s="163" t="s">
        <v>526</v>
      </c>
      <c r="G115" s="139" t="s">
        <v>296</v>
      </c>
      <c r="H115" s="139">
        <v>1</v>
      </c>
      <c r="J115" s="140"/>
      <c r="K115" s="140"/>
      <c r="L115" s="163" t="e">
        <f>INDEX('6. data thông tin nhân sự'!D:D, MATCH('04. TH THEO LOẠI TS'!I115, '6. data thông tin nhân sự'!B:B,0))</f>
        <v>#N/A</v>
      </c>
      <c r="M115" s="163"/>
      <c r="N115" s="231"/>
      <c r="O115" s="163"/>
      <c r="P115" s="156" t="s">
        <v>564</v>
      </c>
      <c r="Q115" s="163"/>
      <c r="R115" s="163"/>
      <c r="S115" s="164" t="s">
        <v>580</v>
      </c>
      <c r="T115" s="163"/>
      <c r="U115" s="163"/>
      <c r="V115" s="163"/>
      <c r="W115" s="163"/>
      <c r="X115" s="192"/>
    </row>
    <row r="116" spans="1:24" s="160" customFormat="1" ht="27.75" hidden="1" customHeight="1">
      <c r="A116" s="139">
        <v>51</v>
      </c>
      <c r="B116" s="163" t="s">
        <v>230</v>
      </c>
      <c r="C116" s="163" t="s">
        <v>78</v>
      </c>
      <c r="D116" s="163" t="s">
        <v>299</v>
      </c>
      <c r="E116" s="163"/>
      <c r="F116" s="163" t="s">
        <v>646</v>
      </c>
      <c r="G116" s="139" t="s">
        <v>296</v>
      </c>
      <c r="H116" s="139">
        <v>1</v>
      </c>
      <c r="I116" s="163">
        <v>24009</v>
      </c>
      <c r="J116" s="140" t="str">
        <f>INDEX('6. data thông tin nhân sự'!C:C, MATCH('04. TH THEO LOẠI TS'!I116, '6. data thông tin nhân sự'!B:B,0))</f>
        <v>Bùi Trịnh Tuệ Khanh</v>
      </c>
      <c r="K116" s="140" t="str">
        <f>INDEX('6. data thông tin nhân sự'!G:G, MATCH('04. TH THEO LOẠI TS'!I116, '6. data thông tin nhân sự'!B:B,0))</f>
        <v>Thiết kế - Design</v>
      </c>
      <c r="L116" s="163" t="str">
        <f>INDEX('6. data thông tin nhân sự'!D:D, MATCH('04. TH THEO LOẠI TS'!I116, '6. data thông tin nhân sự'!B:B,0))</f>
        <v>Chính thức</v>
      </c>
      <c r="M116" s="163"/>
      <c r="N116" s="231">
        <v>46261</v>
      </c>
      <c r="O116" s="163"/>
      <c r="P116" s="163" t="s">
        <v>298</v>
      </c>
      <c r="Q116" s="718"/>
      <c r="R116" s="718"/>
      <c r="S116" s="164"/>
      <c r="T116" s="163"/>
      <c r="U116" s="163"/>
      <c r="V116" s="163"/>
      <c r="W116" s="163"/>
      <c r="X116" s="192"/>
    </row>
    <row r="117" spans="1:24" s="160" customFormat="1" ht="27.75" hidden="1" customHeight="1">
      <c r="A117" s="139">
        <v>52</v>
      </c>
      <c r="B117" s="163" t="s">
        <v>233</v>
      </c>
      <c r="C117" s="163" t="s">
        <v>78</v>
      </c>
      <c r="D117" s="163" t="s">
        <v>299</v>
      </c>
      <c r="E117" s="163"/>
      <c r="F117" s="163" t="s">
        <v>646</v>
      </c>
      <c r="G117" s="139" t="s">
        <v>296</v>
      </c>
      <c r="H117" s="139">
        <v>1</v>
      </c>
      <c r="I117" s="163">
        <v>23001</v>
      </c>
      <c r="J117" s="140" t="str">
        <f>INDEX('6. data thông tin nhân sự'!C:C, MATCH('04. TH THEO LOẠI TS'!I117, '6. data thông tin nhân sự'!B:B,0))</f>
        <v>Thái Thị Thanh Thảo</v>
      </c>
      <c r="K117" s="140" t="str">
        <f>INDEX('6. data thông tin nhân sự'!G:G, MATCH('04. TH THEO LOẠI TS'!I117, '6. data thông tin nhân sự'!B:B,0))</f>
        <v>Thiết kế - Design</v>
      </c>
      <c r="L117" s="163" t="str">
        <f>INDEX('6. data thông tin nhân sự'!D:D, MATCH('04. TH THEO LOẠI TS'!I117, '6. data thông tin nhân sự'!B:B,0))</f>
        <v>Chính thức</v>
      </c>
      <c r="M117" s="163"/>
      <c r="N117" s="231">
        <v>46261</v>
      </c>
      <c r="O117" s="163"/>
      <c r="P117" s="163" t="s">
        <v>298</v>
      </c>
      <c r="Q117" s="719"/>
      <c r="R117" s="719"/>
      <c r="S117" s="164"/>
      <c r="T117" s="163"/>
      <c r="U117" s="163"/>
      <c r="V117" s="163"/>
      <c r="W117" s="163"/>
      <c r="X117" s="192"/>
    </row>
    <row r="118" spans="1:24" s="160" customFormat="1" ht="27.75" hidden="1" customHeight="1">
      <c r="A118" s="139">
        <v>53</v>
      </c>
      <c r="B118" s="163" t="s">
        <v>235</v>
      </c>
      <c r="C118" s="163" t="s">
        <v>78</v>
      </c>
      <c r="D118" s="163" t="s">
        <v>299</v>
      </c>
      <c r="E118" s="163"/>
      <c r="F118" s="163" t="s">
        <v>646</v>
      </c>
      <c r="G118" s="139" t="s">
        <v>296</v>
      </c>
      <c r="H118" s="139">
        <v>1</v>
      </c>
      <c r="I118" s="163">
        <v>24006</v>
      </c>
      <c r="J118" s="140" t="str">
        <f>INDEX('6. data thông tin nhân sự'!C:C, MATCH('04. TH THEO LOẠI TS'!I118, '6. data thông tin nhân sự'!B:B,0))</f>
        <v>Nguyễn Thị Thuỷ Tiên</v>
      </c>
      <c r="K118" s="140" t="str">
        <f>INDEX('6. data thông tin nhân sự'!G:G, MATCH('04. TH THEO LOẠI TS'!I118, '6. data thông tin nhân sự'!B:B,0))</f>
        <v>Thiết kế - Design</v>
      </c>
      <c r="L118" s="163" t="str">
        <f>INDEX('6. data thông tin nhân sự'!D:D, MATCH('04. TH THEO LOẠI TS'!I118, '6. data thông tin nhân sự'!B:B,0))</f>
        <v>Chính thức</v>
      </c>
      <c r="M118" s="163"/>
      <c r="N118" s="231">
        <v>46261</v>
      </c>
      <c r="O118" s="163"/>
      <c r="P118" s="163" t="s">
        <v>298</v>
      </c>
      <c r="Q118" s="719"/>
      <c r="R118" s="719"/>
      <c r="S118" s="164"/>
      <c r="T118" s="163"/>
      <c r="U118" s="163"/>
      <c r="V118" s="163"/>
      <c r="W118" s="163"/>
      <c r="X118" s="192"/>
    </row>
    <row r="119" spans="1:24" s="160" customFormat="1" ht="27.75" hidden="1" customHeight="1">
      <c r="A119" s="139">
        <v>54</v>
      </c>
      <c r="B119" s="163" t="s">
        <v>237</v>
      </c>
      <c r="C119" s="163" t="s">
        <v>78</v>
      </c>
      <c r="D119" s="163" t="s">
        <v>299</v>
      </c>
      <c r="E119" s="163"/>
      <c r="F119" s="163" t="s">
        <v>646</v>
      </c>
      <c r="G119" s="139" t="s">
        <v>296</v>
      </c>
      <c r="H119" s="139">
        <v>1</v>
      </c>
      <c r="I119" s="163">
        <v>21001</v>
      </c>
      <c r="J119" s="140" t="str">
        <f>INDEX('6. data thông tin nhân sự'!C:C, MATCH('04. TH THEO LOẠI TS'!I119, '6. data thông tin nhân sự'!B:B,0))</f>
        <v>Nguyễn  Việt Thắng</v>
      </c>
      <c r="K119" s="140" t="str">
        <f>INDEX('6. data thông tin nhân sự'!G:G, MATCH('04. TH THEO LOẠI TS'!I119, '6. data thông tin nhân sự'!B:B,0))</f>
        <v>Thiết kế - Design</v>
      </c>
      <c r="L119" s="163" t="str">
        <f>INDEX('6. data thông tin nhân sự'!D:D, MATCH('04. TH THEO LOẠI TS'!I119, '6. data thông tin nhân sự'!B:B,0))</f>
        <v>Chính thức</v>
      </c>
      <c r="M119" s="163"/>
      <c r="N119" s="231">
        <v>46261</v>
      </c>
      <c r="O119" s="163"/>
      <c r="P119" s="163" t="s">
        <v>298</v>
      </c>
      <c r="Q119" s="719"/>
      <c r="R119" s="719"/>
      <c r="S119" s="164"/>
      <c r="T119" s="163"/>
      <c r="U119" s="163"/>
      <c r="V119" s="163"/>
      <c r="W119" s="163"/>
      <c r="X119" s="192"/>
    </row>
    <row r="120" spans="1:24" s="160" customFormat="1" ht="27.75" hidden="1" customHeight="1">
      <c r="A120" s="139">
        <v>55</v>
      </c>
      <c r="B120" s="163" t="s">
        <v>239</v>
      </c>
      <c r="C120" s="163" t="s">
        <v>78</v>
      </c>
      <c r="D120" s="163" t="s">
        <v>299</v>
      </c>
      <c r="E120" s="163"/>
      <c r="F120" s="163" t="s">
        <v>646</v>
      </c>
      <c r="G120" s="139" t="s">
        <v>296</v>
      </c>
      <c r="H120" s="139">
        <v>1</v>
      </c>
      <c r="I120" s="163">
        <v>26003</v>
      </c>
      <c r="J120" s="140" t="str">
        <f>INDEX('6. data thông tin nhân sự'!C:C, MATCH('04. TH THEO LOẠI TS'!I120, '6. data thông tin nhân sự'!B:B,0))</f>
        <v>Vũ Đăng Duy</v>
      </c>
      <c r="K120" s="140" t="str">
        <f>INDEX('6. data thông tin nhân sự'!G:G, MATCH('04. TH THEO LOẠI TS'!I120, '6. data thông tin nhân sự'!B:B,0))</f>
        <v>Thiết kế - Design</v>
      </c>
      <c r="L120" s="163" t="str">
        <f>INDEX('6. data thông tin nhân sự'!D:D, MATCH('04. TH THEO LOẠI TS'!I120, '6. data thông tin nhân sự'!B:B,0))</f>
        <v>Chính thức</v>
      </c>
      <c r="M120" s="163"/>
      <c r="N120" s="231">
        <v>46261</v>
      </c>
      <c r="O120" s="163"/>
      <c r="P120" s="163" t="s">
        <v>298</v>
      </c>
      <c r="Q120" s="720"/>
      <c r="R120" s="720"/>
      <c r="S120" s="164"/>
      <c r="T120" s="163"/>
      <c r="U120" s="163"/>
      <c r="V120" s="163"/>
      <c r="W120" s="163"/>
      <c r="X120" s="192"/>
    </row>
    <row r="121" spans="1:24" s="155" customFormat="1" ht="39" hidden="1" customHeight="1">
      <c r="A121" s="251"/>
      <c r="B121" s="251" t="s">
        <v>647</v>
      </c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</row>
    <row r="122" spans="1:24" s="192" customFormat="1" ht="39" hidden="1" customHeight="1">
      <c r="A122" s="139">
        <v>1</v>
      </c>
      <c r="B122" s="163" t="s">
        <v>594</v>
      </c>
      <c r="C122" s="163" t="s">
        <v>80</v>
      </c>
      <c r="D122" s="163"/>
      <c r="E122" s="163"/>
      <c r="F122" s="163" t="s">
        <v>295</v>
      </c>
      <c r="G122" s="139" t="s">
        <v>296</v>
      </c>
      <c r="H122" s="139">
        <v>1</v>
      </c>
      <c r="I122" s="163"/>
      <c r="J122" s="140"/>
      <c r="K122" s="140" t="e">
        <f>INDEX('6. data thông tin nhân sự'!G:G, MATCH('04. TH THEO LOẠI TS'!I122, '6. data thông tin nhân sự'!B:B,0))</f>
        <v>#N/A</v>
      </c>
      <c r="L122" s="163" t="e">
        <f>INDEX('6. data thông tin nhân sự'!D:D, MATCH('04. TH THEO LOẠI TS'!I122, '6. data thông tin nhân sự'!B:B,0))</f>
        <v>#N/A</v>
      </c>
      <c r="M122" s="531"/>
      <c r="N122" s="231">
        <v>46204</v>
      </c>
      <c r="O122" s="163"/>
      <c r="P122" s="163" t="s">
        <v>298</v>
      </c>
      <c r="Q122" s="163"/>
      <c r="R122" s="163"/>
      <c r="S122" s="163"/>
      <c r="T122" s="163"/>
      <c r="U122" s="163"/>
      <c r="V122" s="163"/>
      <c r="W122" s="163"/>
    </row>
    <row r="123" spans="1:24" s="192" customFormat="1" ht="39" hidden="1" customHeight="1">
      <c r="A123" s="139">
        <v>2</v>
      </c>
      <c r="B123" s="163" t="s">
        <v>307</v>
      </c>
      <c r="C123" s="163" t="s">
        <v>80</v>
      </c>
      <c r="D123" s="163" t="s">
        <v>305</v>
      </c>
      <c r="E123" s="163"/>
      <c r="F123" s="163" t="s">
        <v>295</v>
      </c>
      <c r="G123" s="139" t="s">
        <v>296</v>
      </c>
      <c r="H123" s="139">
        <v>1</v>
      </c>
      <c r="I123" s="163">
        <v>25026</v>
      </c>
      <c r="J123" s="140" t="str">
        <f>INDEX('6. data thông tin nhân sự'!C:C, MATCH('04. TH THEO LOẠI TS'!I123, '6. data thông tin nhân sự'!B:B,0))</f>
        <v>Vũ Hoàng Duy</v>
      </c>
      <c r="K123" s="140" t="str">
        <f>INDEX('6. data thông tin nhân sự'!G:G, MATCH('04. TH THEO LOẠI TS'!I123, '6. data thông tin nhân sự'!B:B,0))</f>
        <v>Sản xuất Video - Video Prodution</v>
      </c>
      <c r="L123" s="163" t="str">
        <f>INDEX('6. data thông tin nhân sự'!D:D, MATCH('04. TH THEO LOẠI TS'!I123, '6. data thông tin nhân sự'!B:B,0))</f>
        <v>Chính thức</v>
      </c>
      <c r="M123" s="139"/>
      <c r="N123" s="231">
        <v>46204</v>
      </c>
      <c r="O123" s="163"/>
      <c r="P123" s="163" t="s">
        <v>298</v>
      </c>
      <c r="Q123" s="163"/>
      <c r="R123" s="163"/>
      <c r="S123" s="163"/>
      <c r="T123" s="163"/>
      <c r="U123" s="163"/>
      <c r="V123" s="163"/>
      <c r="W123" s="163"/>
    </row>
    <row r="124" spans="1:24" s="192" customFormat="1" ht="39" hidden="1" customHeight="1">
      <c r="A124" s="139">
        <v>3</v>
      </c>
      <c r="B124" s="163" t="s">
        <v>314</v>
      </c>
      <c r="C124" s="163" t="s">
        <v>80</v>
      </c>
      <c r="D124" s="163" t="s">
        <v>337</v>
      </c>
      <c r="E124" s="163"/>
      <c r="F124" s="163" t="s">
        <v>295</v>
      </c>
      <c r="G124" s="139" t="s">
        <v>296</v>
      </c>
      <c r="H124" s="139">
        <v>1</v>
      </c>
      <c r="I124" s="163">
        <v>25011</v>
      </c>
      <c r="J124" s="140" t="str">
        <f>INDEX('6. data thông tin nhân sự'!C:C, MATCH('04. TH THEO LOẠI TS'!I124, '6. data thông tin nhân sự'!B:B,0))</f>
        <v>Lê Công Hoàng</v>
      </c>
      <c r="K124" s="140" t="str">
        <f>INDEX('6. data thông tin nhân sự'!G:G, MATCH('04. TH THEO LOẠI TS'!I124, '6. data thông tin nhân sự'!B:B,0))</f>
        <v>Sản xuất Video - Video Prodution</v>
      </c>
      <c r="L124" s="163" t="str">
        <f>INDEX('6. data thông tin nhân sự'!D:D, MATCH('04. TH THEO LOẠI TS'!I124, '6. data thông tin nhân sự'!B:B,0))</f>
        <v>Chính thức</v>
      </c>
      <c r="M124" s="139"/>
      <c r="N124" s="231">
        <v>46204</v>
      </c>
      <c r="O124" s="163"/>
      <c r="P124" s="163" t="s">
        <v>298</v>
      </c>
      <c r="Q124" s="392"/>
      <c r="R124" s="163"/>
      <c r="S124" s="163"/>
      <c r="T124" s="163"/>
      <c r="U124" s="163"/>
      <c r="V124" s="163"/>
      <c r="W124" s="163"/>
    </row>
    <row r="125" spans="1:24" s="192" customFormat="1" ht="39" hidden="1" customHeight="1">
      <c r="A125" s="139">
        <v>4</v>
      </c>
      <c r="B125" s="163" t="s">
        <v>321</v>
      </c>
      <c r="C125" s="163" t="s">
        <v>80</v>
      </c>
      <c r="D125" s="163" t="s">
        <v>299</v>
      </c>
      <c r="E125" s="163"/>
      <c r="F125" s="163" t="s">
        <v>295</v>
      </c>
      <c r="G125" s="139" t="s">
        <v>296</v>
      </c>
      <c r="H125" s="139">
        <v>1</v>
      </c>
      <c r="I125" s="163">
        <v>25032</v>
      </c>
      <c r="J125" s="140" t="str">
        <f>INDEX('6. data thông tin nhân sự'!C:C, MATCH('04. TH THEO LOẠI TS'!I125, '6. data thông tin nhân sự'!B:B,0))</f>
        <v>Nguyễn Ngọc Thắng</v>
      </c>
      <c r="K125" s="140" t="str">
        <f>INDEX('6. data thông tin nhân sự'!G:G, MATCH('04. TH THEO LOẠI TS'!I125, '6. data thông tin nhân sự'!B:B,0))</f>
        <v>Sản xuất Video - Video Prodution</v>
      </c>
      <c r="L125" s="163" t="str">
        <f>INDEX('6. data thông tin nhân sự'!D:D, MATCH('04. TH THEO LOẠI TS'!I125, '6. data thông tin nhân sự'!B:B,0))</f>
        <v>Chính thức</v>
      </c>
      <c r="M125" s="139"/>
      <c r="N125" s="231">
        <v>46204</v>
      </c>
      <c r="O125" s="163"/>
      <c r="P125" s="163" t="s">
        <v>298</v>
      </c>
      <c r="Q125" s="163"/>
      <c r="R125" s="163"/>
      <c r="S125" s="163"/>
      <c r="T125" s="163"/>
      <c r="U125" s="163"/>
      <c r="V125" s="163"/>
      <c r="W125" s="163"/>
    </row>
    <row r="126" spans="1:24" s="192" customFormat="1" ht="39" hidden="1" customHeight="1">
      <c r="A126" s="139">
        <v>5</v>
      </c>
      <c r="B126" s="163" t="s">
        <v>148</v>
      </c>
      <c r="C126" s="163" t="s">
        <v>80</v>
      </c>
      <c r="D126" s="163" t="s">
        <v>337</v>
      </c>
      <c r="E126" s="163"/>
      <c r="F126" s="163" t="s">
        <v>295</v>
      </c>
      <c r="G126" s="139" t="s">
        <v>296</v>
      </c>
      <c r="H126" s="139">
        <v>1</v>
      </c>
      <c r="I126" s="163">
        <v>25045</v>
      </c>
      <c r="J126" s="140" t="str">
        <f>INDEX('6. data thông tin nhân sự'!C:C, MATCH('04. TH THEO LOẠI TS'!I126, '6. data thông tin nhân sự'!B:B,0))</f>
        <v>Nguyễn Anh Tuấn</v>
      </c>
      <c r="K126" s="140" t="str">
        <f>INDEX('6. data thông tin nhân sự'!G:G, MATCH('04. TH THEO LOẠI TS'!I126, '6. data thông tin nhân sự'!B:B,0))</f>
        <v>Sản xuất Video - Video Prodution</v>
      </c>
      <c r="L126" s="163" t="str">
        <f>INDEX('6. data thông tin nhân sự'!D:D, MATCH('04. TH THEO LOẠI TS'!I126, '6. data thông tin nhân sự'!B:B,0))</f>
        <v>Chính thức</v>
      </c>
      <c r="M126" s="139"/>
      <c r="N126" s="231">
        <v>46204</v>
      </c>
      <c r="O126" s="163"/>
      <c r="P126" s="163" t="s">
        <v>298</v>
      </c>
      <c r="Q126" s="426"/>
      <c r="R126" s="163"/>
      <c r="S126" s="163"/>
      <c r="T126" s="163"/>
      <c r="U126" s="163"/>
      <c r="V126" s="163"/>
      <c r="W126" s="163"/>
    </row>
    <row r="127" spans="1:24" s="192" customFormat="1" ht="39" hidden="1" customHeight="1">
      <c r="A127" s="139">
        <v>6</v>
      </c>
      <c r="B127" s="163" t="s">
        <v>351</v>
      </c>
      <c r="C127" s="163" t="s">
        <v>80</v>
      </c>
      <c r="D127" s="163" t="s">
        <v>299</v>
      </c>
      <c r="E127" s="163"/>
      <c r="F127" s="163" t="s">
        <v>345</v>
      </c>
      <c r="G127" s="139" t="s">
        <v>296</v>
      </c>
      <c r="H127" s="139">
        <v>1</v>
      </c>
      <c r="I127" s="163">
        <v>20002</v>
      </c>
      <c r="J127" s="140" t="str">
        <f>INDEX('6. data thông tin nhân sự'!C:C, MATCH('04. TH THEO LOẠI TS'!I127, '6. data thông tin nhân sự'!B:B,0))</f>
        <v>Đào Thị Thùy</v>
      </c>
      <c r="K127" s="140" t="str">
        <f>INDEX('6. data thông tin nhân sự'!G:G, MATCH('04. TH THEO LOẠI TS'!I127, '6. data thông tin nhân sự'!B:B,0))</f>
        <v>Truyền thông - Marketing</v>
      </c>
      <c r="L127" s="163" t="str">
        <f>INDEX('6. data thông tin nhân sự'!D:D, MATCH('04. TH THEO LOẠI TS'!I127, '6. data thông tin nhân sự'!B:B,0))</f>
        <v>Chính thức</v>
      </c>
      <c r="M127" s="529"/>
      <c r="N127" s="231">
        <v>45839</v>
      </c>
      <c r="O127" s="163"/>
      <c r="P127" s="163" t="s">
        <v>298</v>
      </c>
      <c r="Q127" s="163"/>
      <c r="R127" s="163"/>
      <c r="S127" s="163"/>
      <c r="T127" s="163"/>
      <c r="U127" s="163"/>
      <c r="V127" s="163"/>
      <c r="W127" s="163"/>
    </row>
    <row r="128" spans="1:24" s="192" customFormat="1" ht="39" hidden="1" customHeight="1">
      <c r="A128" s="139">
        <v>7</v>
      </c>
      <c r="B128" s="163" t="s">
        <v>356</v>
      </c>
      <c r="C128" s="163" t="s">
        <v>80</v>
      </c>
      <c r="D128" s="163" t="s">
        <v>299</v>
      </c>
      <c r="E128" s="163"/>
      <c r="F128" s="163" t="s">
        <v>345</v>
      </c>
      <c r="G128" s="139" t="s">
        <v>296</v>
      </c>
      <c r="H128" s="139">
        <v>1</v>
      </c>
      <c r="I128" s="163">
        <v>22002</v>
      </c>
      <c r="J128" s="140" t="str">
        <f>INDEX('6. data thông tin nhân sự'!C:C, MATCH('04. TH THEO LOẠI TS'!I128, '6. data thông tin nhân sự'!B:B,0))</f>
        <v>Ngô Khánh Vi</v>
      </c>
      <c r="K128" s="140" t="str">
        <f>INDEX('6. data thông tin nhân sự'!G:G, MATCH('04. TH THEO LOẠI TS'!I128, '6. data thông tin nhân sự'!B:B,0))</f>
        <v>Truyền thông - Marketing</v>
      </c>
      <c r="L128" s="163" t="str">
        <f>INDEX('6. data thông tin nhân sự'!D:D, MATCH('04. TH THEO LOẠI TS'!I128, '6. data thông tin nhân sự'!B:B,0))</f>
        <v>Chính thức</v>
      </c>
      <c r="M128" s="139"/>
      <c r="N128" s="231">
        <v>46204</v>
      </c>
      <c r="O128" s="163"/>
      <c r="P128" s="163" t="s">
        <v>298</v>
      </c>
      <c r="Q128" s="163"/>
      <c r="R128" s="163"/>
      <c r="S128" s="163"/>
      <c r="T128" s="163"/>
      <c r="U128" s="163"/>
      <c r="V128" s="163"/>
      <c r="W128" s="163"/>
    </row>
    <row r="129" spans="1:24" s="192" customFormat="1" ht="39" hidden="1" customHeight="1">
      <c r="A129" s="139">
        <v>8</v>
      </c>
      <c r="B129" s="140" t="s">
        <v>186</v>
      </c>
      <c r="C129" s="140" t="s">
        <v>80</v>
      </c>
      <c r="D129" s="163" t="s">
        <v>299</v>
      </c>
      <c r="E129" s="140"/>
      <c r="F129" s="163" t="s">
        <v>373</v>
      </c>
      <c r="G129" s="139" t="s">
        <v>296</v>
      </c>
      <c r="H129" s="139">
        <v>1</v>
      </c>
      <c r="I129" s="163">
        <v>20003</v>
      </c>
      <c r="J129" s="140" t="str">
        <f>INDEX('6. data thông tin nhân sự'!C:C, MATCH('04. TH THEO LOẠI TS'!I129, '6. data thông tin nhân sự'!B:B,0))</f>
        <v>Nguyễn Mạnh Hoàng</v>
      </c>
      <c r="K129" s="140" t="str">
        <f>INDEX('6. data thông tin nhân sự'!G:G, MATCH('04. TH THEO LOẠI TS'!I129, '6. data thông tin nhân sự'!B:B,0))</f>
        <v>Sáng tạo - Creative</v>
      </c>
      <c r="L129" s="163" t="str">
        <f>INDEX('6. data thông tin nhân sự'!D:D, MATCH('04. TH THEO LOẠI TS'!I129, '6. data thông tin nhân sự'!B:B,0))</f>
        <v>Chính thức</v>
      </c>
      <c r="M129" s="140" t="s">
        <v>648</v>
      </c>
      <c r="N129" s="231">
        <v>46217</v>
      </c>
      <c r="O129" s="163"/>
      <c r="P129" s="163" t="s">
        <v>298</v>
      </c>
      <c r="Q129" s="163"/>
      <c r="R129" s="163"/>
      <c r="S129" s="163"/>
      <c r="T129" s="163"/>
      <c r="U129" s="163"/>
      <c r="V129" s="163"/>
      <c r="W129" s="163"/>
    </row>
    <row r="130" spans="1:24" s="192" customFormat="1" ht="39" hidden="1" customHeight="1">
      <c r="A130" s="139">
        <v>9</v>
      </c>
      <c r="B130" s="163" t="s">
        <v>396</v>
      </c>
      <c r="C130" s="163" t="s">
        <v>80</v>
      </c>
      <c r="D130" s="163"/>
      <c r="E130" s="163"/>
      <c r="F130" s="163" t="s">
        <v>373</v>
      </c>
      <c r="G130" s="139" t="s">
        <v>296</v>
      </c>
      <c r="H130" s="139">
        <v>1</v>
      </c>
      <c r="I130" s="163">
        <v>26001</v>
      </c>
      <c r="J130" s="140" t="str">
        <f>INDEX('6. data thông tin nhân sự'!C:C, MATCH('04. TH THEO LOẠI TS'!I130, '6. data thông tin nhân sự'!B:B,0))</f>
        <v>Tô Hồng Đức</v>
      </c>
      <c r="K130" s="140" t="str">
        <f>INDEX('6. data thông tin nhân sự'!G:G, MATCH('04. TH THEO LOẠI TS'!I130, '6. data thông tin nhân sự'!B:B,0))</f>
        <v>Sáng tạo - Creative</v>
      </c>
      <c r="L130" s="163" t="str">
        <f>INDEX('6. data thông tin nhân sự'!D:D, MATCH('04. TH THEO LOẠI TS'!I130, '6. data thông tin nhân sự'!B:B,0))</f>
        <v>Chính thức</v>
      </c>
      <c r="M130" s="140"/>
      <c r="N130" s="231">
        <v>46217</v>
      </c>
      <c r="O130" s="163"/>
      <c r="P130" s="163" t="s">
        <v>298</v>
      </c>
      <c r="Q130" s="163"/>
      <c r="R130" s="163"/>
      <c r="S130" s="163"/>
      <c r="T130" s="163"/>
      <c r="U130" s="163"/>
      <c r="V130" s="163"/>
      <c r="W130" s="163"/>
    </row>
    <row r="131" spans="1:24" s="192" customFormat="1" ht="39" hidden="1" customHeight="1">
      <c r="A131" s="139">
        <v>10</v>
      </c>
      <c r="B131" s="163" t="s">
        <v>432</v>
      </c>
      <c r="C131" s="163" t="s">
        <v>80</v>
      </c>
      <c r="D131" s="163"/>
      <c r="E131" s="163"/>
      <c r="F131" s="163" t="s">
        <v>408</v>
      </c>
      <c r="G131" s="139" t="s">
        <v>296</v>
      </c>
      <c r="H131" s="139">
        <v>1</v>
      </c>
      <c r="I131" s="163">
        <v>25012</v>
      </c>
      <c r="J131" s="140" t="str">
        <f>INDEX('6. data thông tin nhân sự'!C:C, MATCH('04. TH THEO LOẠI TS'!I131, '6. data thông tin nhân sự'!B:B,0))</f>
        <v>Dương Nguyên Bảo</v>
      </c>
      <c r="K131" s="140" t="str">
        <f>INDEX('6. data thông tin nhân sự'!G:G, MATCH('04. TH THEO LOẠI TS'!I131, '6. data thông tin nhân sự'!B:B,0))</f>
        <v>Sự kiện - Event</v>
      </c>
      <c r="L131" s="163" t="str">
        <f>INDEX('6. data thông tin nhân sự'!D:D, MATCH('04. TH THEO LOẠI TS'!I131, '6. data thông tin nhân sự'!B:B,0))</f>
        <v>Chính thức</v>
      </c>
      <c r="M131" s="140"/>
      <c r="N131" s="231">
        <v>46204</v>
      </c>
      <c r="O131" s="163"/>
      <c r="P131" s="163" t="s">
        <v>298</v>
      </c>
      <c r="Q131" s="163"/>
      <c r="R131" s="163"/>
      <c r="S131" s="163"/>
      <c r="T131" s="163"/>
      <c r="U131" s="163"/>
      <c r="V131" s="163"/>
      <c r="W131" s="163"/>
    </row>
    <row r="132" spans="1:24" s="192" customFormat="1" ht="39" hidden="1" customHeight="1">
      <c r="A132" s="139">
        <v>11</v>
      </c>
      <c r="B132" s="163" t="s">
        <v>438</v>
      </c>
      <c r="C132" s="163" t="s">
        <v>80</v>
      </c>
      <c r="D132" s="163"/>
      <c r="E132" s="163"/>
      <c r="F132" s="163" t="s">
        <v>408</v>
      </c>
      <c r="G132" s="139" t="s">
        <v>296</v>
      </c>
      <c r="H132" s="139">
        <v>1</v>
      </c>
      <c r="I132" s="163">
        <v>25030</v>
      </c>
      <c r="J132" s="140" t="str">
        <f>INDEX('6. data thông tin nhân sự'!C:C, MATCH('04. TH THEO LOẠI TS'!I132, '6. data thông tin nhân sự'!B:B,0))</f>
        <v>Hoàng Tuấn Anh</v>
      </c>
      <c r="K132" s="140" t="str">
        <f>INDEX('6. data thông tin nhân sự'!G:G, MATCH('04. TH THEO LOẠI TS'!I132, '6. data thông tin nhân sự'!B:B,0))</f>
        <v>Sự kiện - Event</v>
      </c>
      <c r="L132" s="163" t="str">
        <f>INDEX('6. data thông tin nhân sự'!D:D, MATCH('04. TH THEO LOẠI TS'!I132, '6. data thông tin nhân sự'!B:B,0))</f>
        <v>Chính thức</v>
      </c>
      <c r="M132" s="139"/>
      <c r="N132" s="231">
        <v>46204</v>
      </c>
      <c r="O132" s="163"/>
      <c r="P132" s="163" t="s">
        <v>298</v>
      </c>
      <c r="Q132" s="163"/>
      <c r="R132" s="163"/>
      <c r="S132" s="163"/>
      <c r="T132" s="163"/>
      <c r="U132" s="163"/>
      <c r="V132" s="163"/>
      <c r="W132" s="163"/>
    </row>
    <row r="133" spans="1:24" s="192" customFormat="1" ht="39" hidden="1" customHeight="1">
      <c r="A133" s="139">
        <v>12</v>
      </c>
      <c r="B133" s="163" t="s">
        <v>483</v>
      </c>
      <c r="C133" s="163" t="s">
        <v>80</v>
      </c>
      <c r="D133" s="163"/>
      <c r="E133" s="163"/>
      <c r="F133" s="163" t="s">
        <v>443</v>
      </c>
      <c r="G133" s="139" t="s">
        <v>296</v>
      </c>
      <c r="H133" s="139">
        <v>1</v>
      </c>
      <c r="I133" s="163">
        <v>24009</v>
      </c>
      <c r="J133" s="140" t="str">
        <f>INDEX('6. data thông tin nhân sự'!C:C, MATCH('04. TH THEO LOẠI TS'!I133, '6. data thông tin nhân sự'!B:B,0))</f>
        <v>Bùi Trịnh Tuệ Khanh</v>
      </c>
      <c r="K133" s="140" t="str">
        <f>INDEX('6. data thông tin nhân sự'!G:G, MATCH('04. TH THEO LOẠI TS'!I133, '6. data thông tin nhân sự'!B:B,0))</f>
        <v>Thiết kế - Design</v>
      </c>
      <c r="L133" s="163" t="str">
        <f>INDEX('6. data thông tin nhân sự'!D:D, MATCH('04. TH THEO LOẠI TS'!I133, '6. data thông tin nhân sự'!B:B,0))</f>
        <v>Chính thức</v>
      </c>
      <c r="M133" s="139"/>
      <c r="N133" s="231">
        <v>46204</v>
      </c>
      <c r="O133" s="163"/>
      <c r="P133" s="163" t="s">
        <v>298</v>
      </c>
      <c r="Q133" s="163"/>
      <c r="R133" s="163"/>
      <c r="S133" s="163"/>
      <c r="T133" s="163"/>
      <c r="U133" s="163"/>
      <c r="V133" s="163"/>
      <c r="W133" s="163"/>
    </row>
    <row r="134" spans="1:24" s="192" customFormat="1" ht="39" hidden="1" customHeight="1">
      <c r="A134" s="139">
        <v>13</v>
      </c>
      <c r="B134" s="163" t="s">
        <v>193</v>
      </c>
      <c r="C134" s="163" t="s">
        <v>80</v>
      </c>
      <c r="D134" s="163"/>
      <c r="E134" s="163"/>
      <c r="F134" s="163" t="s">
        <v>443</v>
      </c>
      <c r="G134" s="139" t="s">
        <v>296</v>
      </c>
      <c r="H134" s="139">
        <v>1</v>
      </c>
      <c r="I134" s="149">
        <v>26027</v>
      </c>
      <c r="J134" s="140" t="str">
        <f>INDEX('6. data thông tin nhân sự'!C:C, MATCH('04. TH THEO LOẠI TS'!I134, '6. data thông tin nhân sự'!B:B,0))</f>
        <v>Trần Duy Nam</v>
      </c>
      <c r="K134" s="140" t="str">
        <f>INDEX('6. data thông tin nhân sự'!G:G, MATCH('04. TH THEO LOẠI TS'!I134, '6. data thông tin nhân sự'!B:B,0))</f>
        <v>Thiết kế - Design</v>
      </c>
      <c r="L134" s="163" t="str">
        <f>INDEX('6. data thông tin nhân sự'!D:D, MATCH('04. TH THEO LOẠI TS'!I134, '6. data thông tin nhân sự'!B:B,0))</f>
        <v>Thử việc</v>
      </c>
      <c r="M134" s="139"/>
      <c r="N134" s="231">
        <v>46204</v>
      </c>
      <c r="O134" s="163"/>
      <c r="P134" s="163" t="s">
        <v>298</v>
      </c>
      <c r="Q134" s="533"/>
      <c r="R134" s="163"/>
      <c r="S134" s="163"/>
      <c r="T134" s="163"/>
      <c r="U134" s="163"/>
      <c r="V134" s="163"/>
      <c r="W134" s="163"/>
    </row>
    <row r="135" spans="1:24" s="192" customFormat="1" ht="39" hidden="1" customHeight="1">
      <c r="A135" s="139">
        <v>14</v>
      </c>
      <c r="B135" s="163" t="s">
        <v>510</v>
      </c>
      <c r="C135" s="163" t="s">
        <v>80</v>
      </c>
      <c r="D135" s="163"/>
      <c r="E135" s="163"/>
      <c r="F135" s="163" t="s">
        <v>492</v>
      </c>
      <c r="G135" s="139" t="s">
        <v>296</v>
      </c>
      <c r="H135" s="139">
        <v>1</v>
      </c>
      <c r="I135" s="163">
        <v>25039</v>
      </c>
      <c r="J135" s="140" t="str">
        <f>INDEX('6. data thông tin nhân sự'!C:C, MATCH('04. TH THEO LOẠI TS'!I135, '6. data thông tin nhân sự'!B:B,0))</f>
        <v>Nguyễn Thị Thu Hoài</v>
      </c>
      <c r="K135" s="140" t="str">
        <f>INDEX('6. data thông tin nhân sự'!G:G, MATCH('04. TH THEO LOẠI TS'!I135, '6. data thông tin nhân sự'!B:B,0))</f>
        <v>Tài chính &amp; Kế toán  - Finance &amp; Accounting</v>
      </c>
      <c r="L135" s="163" t="str">
        <f>INDEX('6. data thông tin nhân sự'!D:D, MATCH('04. TH THEO LOẠI TS'!I135, '6. data thông tin nhân sự'!B:B,0))</f>
        <v>Chính thức</v>
      </c>
      <c r="M135" s="139"/>
      <c r="N135" s="231">
        <v>46204</v>
      </c>
      <c r="O135" s="231"/>
      <c r="P135" s="163" t="s">
        <v>298</v>
      </c>
      <c r="Q135" s="163"/>
      <c r="R135" s="163"/>
      <c r="S135" s="164" t="s">
        <v>507</v>
      </c>
      <c r="T135" s="164" t="s">
        <v>508</v>
      </c>
      <c r="U135" s="164"/>
      <c r="V135" s="164" t="s">
        <v>509</v>
      </c>
      <c r="W135" s="164"/>
    </row>
    <row r="136" spans="1:24" s="192" customFormat="1" ht="39" hidden="1" customHeight="1">
      <c r="A136" s="139">
        <v>15</v>
      </c>
      <c r="B136" s="163" t="s">
        <v>517</v>
      </c>
      <c r="C136" s="163" t="s">
        <v>80</v>
      </c>
      <c r="D136" s="163"/>
      <c r="E136" s="163"/>
      <c r="F136" s="163" t="s">
        <v>492</v>
      </c>
      <c r="G136" s="139" t="s">
        <v>296</v>
      </c>
      <c r="H136" s="139">
        <v>1</v>
      </c>
      <c r="I136" s="163">
        <v>24007</v>
      </c>
      <c r="J136" s="140" t="str">
        <f>INDEX('6. data thông tin nhân sự'!C:C, MATCH('04. TH THEO LOẠI TS'!I136, '6. data thông tin nhân sự'!B:B,0))</f>
        <v>Lê Thương Huyền</v>
      </c>
      <c r="K136" s="140" t="str">
        <f>INDEX('6. data thông tin nhân sự'!G:G, MATCH('04. TH THEO LOẠI TS'!I136, '6. data thông tin nhân sự'!B:B,0))</f>
        <v>Tài chính &amp; Kế toán  - Finance &amp; Accounting</v>
      </c>
      <c r="L136" s="163" t="str">
        <f>INDEX('6. data thông tin nhân sự'!D:D, MATCH('04. TH THEO LOẠI TS'!I136, '6. data thông tin nhân sự'!B:B,0))</f>
        <v>Chính thức</v>
      </c>
      <c r="M136" s="139"/>
      <c r="N136" s="231">
        <v>46204</v>
      </c>
      <c r="O136" s="163"/>
      <c r="P136" s="163" t="s">
        <v>298</v>
      </c>
      <c r="Q136" s="163"/>
      <c r="R136" s="163"/>
      <c r="S136" s="163"/>
      <c r="T136" s="163"/>
      <c r="U136" s="163"/>
      <c r="V136" s="163"/>
      <c r="W136" s="163"/>
    </row>
    <row r="137" spans="1:24" s="192" customFormat="1" ht="39" hidden="1" customHeight="1">
      <c r="A137" s="139">
        <v>16</v>
      </c>
      <c r="B137" s="163" t="s">
        <v>523</v>
      </c>
      <c r="C137" s="163" t="s">
        <v>80</v>
      </c>
      <c r="D137" s="163"/>
      <c r="E137" s="163"/>
      <c r="F137" s="163" t="s">
        <v>492</v>
      </c>
      <c r="G137" s="139" t="s">
        <v>296</v>
      </c>
      <c r="H137" s="139">
        <v>1</v>
      </c>
      <c r="I137" s="163">
        <v>25017</v>
      </c>
      <c r="J137" s="140" t="str">
        <f>INDEX('6. data thông tin nhân sự'!C:C, MATCH('04. TH THEO LOẠI TS'!I137, '6. data thông tin nhân sự'!B:B,0))</f>
        <v>Nguyễn Thu Hà</v>
      </c>
      <c r="K137" s="140" t="str">
        <f>INDEX('6. data thông tin nhân sự'!G:G, MATCH('04. TH THEO LOẠI TS'!I137, '6. data thông tin nhân sự'!B:B,0))</f>
        <v>Tài chính &amp; Kế toán  - Finance &amp; Accounting</v>
      </c>
      <c r="L137" s="163" t="str">
        <f>INDEX('6. data thông tin nhân sự'!D:D, MATCH('04. TH THEO LOẠI TS'!I137, '6. data thông tin nhân sự'!B:B,0))</f>
        <v>Chính thức</v>
      </c>
      <c r="M137" s="139"/>
      <c r="N137" s="231">
        <v>46204</v>
      </c>
      <c r="O137" s="163"/>
      <c r="P137" s="163" t="s">
        <v>298</v>
      </c>
      <c r="Q137" s="163"/>
      <c r="R137" s="163"/>
      <c r="S137" s="163"/>
      <c r="T137" s="163"/>
      <c r="U137" s="163"/>
      <c r="V137" s="163"/>
      <c r="W137" s="163"/>
    </row>
    <row r="138" spans="1:24" s="192" customFormat="1" ht="39" hidden="1" customHeight="1">
      <c r="A138" s="139">
        <v>17</v>
      </c>
      <c r="B138" s="163" t="s">
        <v>501</v>
      </c>
      <c r="C138" s="163" t="s">
        <v>80</v>
      </c>
      <c r="D138" s="163"/>
      <c r="E138" s="163"/>
      <c r="F138" s="163" t="s">
        <v>492</v>
      </c>
      <c r="G138" s="139" t="s">
        <v>296</v>
      </c>
      <c r="H138" s="139">
        <v>1</v>
      </c>
      <c r="I138" s="163">
        <v>10004</v>
      </c>
      <c r="J138" s="140" t="str">
        <f>INDEX('6. data thông tin nhân sự'!C:C, MATCH('04. TH THEO LOẠI TS'!I138, '6. data thông tin nhân sự'!B:B,0))</f>
        <v>Nguyễn Phương Anh</v>
      </c>
      <c r="K138" s="140" t="str">
        <f>INDEX('6. data thông tin nhân sự'!G:G, MATCH('04. TH THEO LOẠI TS'!I138, '6. data thông tin nhân sự'!B:B,0))</f>
        <v>Tài chính &amp; Kế toán  - Finance &amp; Accounting</v>
      </c>
      <c r="L138" s="163" t="str">
        <f>INDEX('6. data thông tin nhân sự'!D:D, MATCH('04. TH THEO LOẠI TS'!I138, '6. data thông tin nhân sự'!B:B,0))</f>
        <v>Chính thức</v>
      </c>
      <c r="M138" s="139"/>
      <c r="N138" s="231">
        <v>46204</v>
      </c>
      <c r="O138" s="163"/>
      <c r="P138" s="163" t="s">
        <v>298</v>
      </c>
      <c r="Q138" s="163"/>
      <c r="R138" s="163"/>
      <c r="S138" s="163"/>
      <c r="T138" s="163"/>
      <c r="U138" s="163"/>
      <c r="V138" s="163"/>
      <c r="W138" s="163"/>
    </row>
    <row r="139" spans="1:24" s="192" customFormat="1" ht="39" hidden="1" customHeight="1">
      <c r="A139" s="139">
        <v>18</v>
      </c>
      <c r="B139" s="163" t="s">
        <v>495</v>
      </c>
      <c r="C139" s="163" t="s">
        <v>80</v>
      </c>
      <c r="D139" s="430"/>
      <c r="E139" s="163"/>
      <c r="F139" s="163" t="s">
        <v>492</v>
      </c>
      <c r="G139" s="139" t="s">
        <v>296</v>
      </c>
      <c r="H139" s="139">
        <v>1</v>
      </c>
      <c r="I139" s="163">
        <v>17001</v>
      </c>
      <c r="J139" s="140" t="str">
        <f>INDEX('6. data thông tin nhân sự'!C:C, MATCH('04. TH THEO LOẠI TS'!I139, '6. data thông tin nhân sự'!B:B,0))</f>
        <v>Nguyễn Thị Hồng</v>
      </c>
      <c r="K139" s="140" t="str">
        <f>INDEX('6. data thông tin nhân sự'!G:G, MATCH('04. TH THEO LOẠI TS'!I139, '6. data thông tin nhân sự'!B:B,0))</f>
        <v>Tài chính &amp; Kế toán  - Finance &amp; Accounting</v>
      </c>
      <c r="L139" s="163" t="str">
        <f>INDEX('6. data thông tin nhân sự'!D:D, MATCH('04. TH THEO LOẠI TS'!I139, '6. data thông tin nhân sự'!B:B,0))</f>
        <v>Chính thức</v>
      </c>
      <c r="M139" s="139"/>
      <c r="N139" s="231">
        <v>46204</v>
      </c>
      <c r="O139" s="163"/>
      <c r="P139" s="163" t="s">
        <v>298</v>
      </c>
      <c r="Q139" s="163"/>
      <c r="R139" s="163"/>
      <c r="S139" s="163"/>
      <c r="T139" s="163"/>
      <c r="U139" s="163"/>
      <c r="V139" s="163"/>
      <c r="W139" s="163"/>
    </row>
    <row r="140" spans="1:24" s="192" customFormat="1" ht="39" hidden="1" customHeight="1">
      <c r="A140" s="139">
        <v>19</v>
      </c>
      <c r="B140" s="163" t="s">
        <v>528</v>
      </c>
      <c r="C140" s="163" t="s">
        <v>80</v>
      </c>
      <c r="D140" s="163"/>
      <c r="E140" s="518"/>
      <c r="F140" s="163" t="s">
        <v>492</v>
      </c>
      <c r="G140" s="139" t="s">
        <v>296</v>
      </c>
      <c r="H140" s="139">
        <v>1</v>
      </c>
      <c r="I140" s="163">
        <v>25041</v>
      </c>
      <c r="J140" s="140" t="str">
        <f>INDEX('6. data thông tin nhân sự'!C:C, MATCH('04. TH THEO LOẠI TS'!I140, '6. data thông tin nhân sự'!B:B,0))</f>
        <v>Bùi Hữu Đức</v>
      </c>
      <c r="K140" s="140" t="str">
        <f>INDEX('6. data thông tin nhân sự'!G:G, MATCH('04. TH THEO LOẠI TS'!I140, '6. data thông tin nhân sự'!B:B,0))</f>
        <v>Tài chính &amp; Kế toán  - Finance &amp; Accounting</v>
      </c>
      <c r="L140" s="163" t="str">
        <f>INDEX('6. data thông tin nhân sự'!D:D, MATCH('04. TH THEO LOẠI TS'!I140, '6. data thông tin nhân sự'!B:B,0))</f>
        <v>Chính thức</v>
      </c>
      <c r="M140" s="139"/>
      <c r="N140" s="231">
        <v>46202</v>
      </c>
      <c r="O140" s="163"/>
      <c r="P140" s="163" t="s">
        <v>298</v>
      </c>
      <c r="Q140" s="163"/>
      <c r="R140" s="163"/>
      <c r="S140" s="163"/>
      <c r="T140" s="163"/>
      <c r="U140" s="163"/>
      <c r="V140" s="163"/>
      <c r="W140" s="163"/>
    </row>
    <row r="141" spans="1:24" s="192" customFormat="1" ht="39" hidden="1" customHeight="1">
      <c r="A141" s="139">
        <v>20</v>
      </c>
      <c r="B141" s="163" t="s">
        <v>540</v>
      </c>
      <c r="C141" s="163" t="s">
        <v>80</v>
      </c>
      <c r="D141" s="163"/>
      <c r="E141" s="163"/>
      <c r="F141" s="163" t="s">
        <v>534</v>
      </c>
      <c r="G141" s="139" t="s">
        <v>296</v>
      </c>
      <c r="H141" s="139">
        <v>1</v>
      </c>
      <c r="I141" s="163">
        <v>25021</v>
      </c>
      <c r="J141" s="140" t="str">
        <f>INDEX('6. data thông tin nhân sự'!C:C, MATCH('04. TH THEO LOẠI TS'!I141, '6. data thông tin nhân sự'!B:B,0))</f>
        <v>Ngô Thị Hồng Hải</v>
      </c>
      <c r="K141" s="140" t="str">
        <f>INDEX('6. data thông tin nhân sự'!G:G, MATCH('04. TH THEO LOẠI TS'!I141, '6. data thông tin nhân sự'!B:B,0))</f>
        <v>Hành chính nhân sự - HR &amp; Admin</v>
      </c>
      <c r="L141" s="163" t="str">
        <f>INDEX('6. data thông tin nhân sự'!D:D, MATCH('04. TH THEO LOẠI TS'!I141, '6. data thông tin nhân sự'!B:B,0))</f>
        <v>Chính thức</v>
      </c>
      <c r="M141" s="139"/>
      <c r="N141" s="231">
        <v>46204</v>
      </c>
      <c r="O141" s="163"/>
      <c r="P141" s="163" t="s">
        <v>298</v>
      </c>
      <c r="Q141" s="163"/>
      <c r="R141" s="163"/>
      <c r="S141" s="163"/>
      <c r="T141" s="163"/>
      <c r="U141" s="163"/>
      <c r="V141" s="163"/>
      <c r="W141" s="163"/>
    </row>
    <row r="142" spans="1:24" s="192" customFormat="1" ht="46.5" hidden="1" customHeight="1">
      <c r="A142" s="139">
        <v>21</v>
      </c>
      <c r="B142" s="163" t="s">
        <v>551</v>
      </c>
      <c r="C142" s="163" t="s">
        <v>80</v>
      </c>
      <c r="D142" s="163"/>
      <c r="E142" s="163"/>
      <c r="F142" s="163" t="s">
        <v>534</v>
      </c>
      <c r="G142" s="139" t="s">
        <v>296</v>
      </c>
      <c r="H142" s="139">
        <v>1</v>
      </c>
      <c r="I142" s="163">
        <v>26028</v>
      </c>
      <c r="J142" s="140" t="str">
        <f>INDEX('6. data thông tin nhân sự'!C:C, MATCH('04. TH THEO LOẠI TS'!I142, '6. data thông tin nhân sự'!B:B,0))</f>
        <v>Hoàng Thị Thu Trang</v>
      </c>
      <c r="K142" s="140" t="str">
        <f>INDEX('6. data thông tin nhân sự'!G:G, MATCH('04. TH THEO LOẠI TS'!I142, '6. data thông tin nhân sự'!B:B,0))</f>
        <v>Hành chính nhân sự - HR &amp; Admin</v>
      </c>
      <c r="L142" s="163" t="str">
        <f>INDEX('6. data thông tin nhân sự'!D:D, MATCH('04. TH THEO LOẠI TS'!I142, '6. data thông tin nhân sự'!B:B,0))</f>
        <v>Thử việc</v>
      </c>
      <c r="M142" s="139"/>
      <c r="N142" s="231">
        <v>46204</v>
      </c>
      <c r="O142" s="163"/>
      <c r="P142" s="163" t="s">
        <v>298</v>
      </c>
      <c r="Q142" s="140"/>
      <c r="R142" s="140"/>
      <c r="S142" s="428" t="s">
        <v>568</v>
      </c>
      <c r="T142" s="428" t="s">
        <v>552</v>
      </c>
      <c r="U142" s="140"/>
      <c r="V142" s="140"/>
      <c r="W142" s="140"/>
    </row>
    <row r="143" spans="1:24" s="192" customFormat="1" ht="46.5" hidden="1" customHeight="1">
      <c r="A143" s="139">
        <v>22</v>
      </c>
      <c r="B143" s="516" t="s">
        <v>211</v>
      </c>
      <c r="C143" s="517" t="s">
        <v>80</v>
      </c>
      <c r="D143" s="163"/>
      <c r="E143" s="163"/>
      <c r="F143" s="163" t="s">
        <v>526</v>
      </c>
      <c r="G143" s="139" t="s">
        <v>296</v>
      </c>
      <c r="H143" s="139">
        <v>1</v>
      </c>
      <c r="I143" s="163"/>
      <c r="J143" s="163"/>
      <c r="K143" s="163"/>
      <c r="L143" s="163"/>
      <c r="M143" s="163"/>
      <c r="N143" s="231"/>
      <c r="O143" s="163"/>
      <c r="P143" s="156" t="s">
        <v>564</v>
      </c>
      <c r="Q143" s="163"/>
      <c r="R143" s="163" t="s">
        <v>569</v>
      </c>
      <c r="S143" s="163"/>
      <c r="T143" s="163"/>
      <c r="U143" s="163"/>
      <c r="V143" s="163"/>
      <c r="W143" s="163"/>
      <c r="X143" s="431"/>
    </row>
    <row r="144" spans="1:24" s="192" customFormat="1" ht="46.5" hidden="1" customHeight="1">
      <c r="A144" s="139">
        <v>23</v>
      </c>
      <c r="B144" s="516" t="s">
        <v>214</v>
      </c>
      <c r="C144" s="163" t="s">
        <v>80</v>
      </c>
      <c r="D144" s="163"/>
      <c r="E144" s="163"/>
      <c r="F144" s="163" t="s">
        <v>526</v>
      </c>
      <c r="G144" s="139" t="s">
        <v>296</v>
      </c>
      <c r="H144" s="139">
        <v>1</v>
      </c>
      <c r="I144" s="163"/>
      <c r="J144" s="163"/>
      <c r="K144" s="163"/>
      <c r="L144" s="163"/>
      <c r="M144" s="163"/>
      <c r="N144" s="231"/>
      <c r="O144" s="163"/>
      <c r="P144" s="156" t="s">
        <v>564</v>
      </c>
      <c r="Q144" s="163"/>
      <c r="R144" s="163" t="s">
        <v>569</v>
      </c>
      <c r="S144" s="163"/>
      <c r="T144" s="163"/>
      <c r="U144" s="163"/>
      <c r="V144" s="163"/>
      <c r="W144" s="163"/>
      <c r="X144" s="431"/>
    </row>
    <row r="145" spans="1:24" s="192" customFormat="1" ht="46.5" hidden="1" customHeight="1">
      <c r="A145" s="139">
        <v>24</v>
      </c>
      <c r="B145" s="163" t="s">
        <v>218</v>
      </c>
      <c r="C145" s="163" t="s">
        <v>80</v>
      </c>
      <c r="D145" s="163"/>
      <c r="E145" s="163"/>
      <c r="F145" s="163" t="s">
        <v>526</v>
      </c>
      <c r="G145" s="139" t="s">
        <v>296</v>
      </c>
      <c r="H145" s="139">
        <v>1</v>
      </c>
      <c r="I145" s="163"/>
      <c r="J145" s="163"/>
      <c r="K145" s="163"/>
      <c r="L145" s="163"/>
      <c r="M145" s="163"/>
      <c r="N145" s="231"/>
      <c r="O145" s="163"/>
      <c r="P145" s="156" t="s">
        <v>564</v>
      </c>
      <c r="Q145" s="163"/>
      <c r="R145" s="163" t="s">
        <v>569</v>
      </c>
      <c r="S145" s="163"/>
      <c r="T145" s="163"/>
      <c r="U145" s="163"/>
      <c r="V145" s="163"/>
      <c r="W145" s="163"/>
      <c r="X145" s="431"/>
    </row>
    <row r="146" spans="1:24" s="192" customFormat="1" ht="46.5" hidden="1" customHeight="1">
      <c r="A146" s="139">
        <v>25</v>
      </c>
      <c r="B146" s="516" t="s">
        <v>221</v>
      </c>
      <c r="C146" s="517" t="s">
        <v>80</v>
      </c>
      <c r="D146" s="163"/>
      <c r="E146" s="163"/>
      <c r="F146" s="163" t="s">
        <v>526</v>
      </c>
      <c r="G146" s="139" t="s">
        <v>296</v>
      </c>
      <c r="H146" s="139">
        <v>1</v>
      </c>
      <c r="I146" s="163"/>
      <c r="J146" s="163"/>
      <c r="K146" s="163"/>
      <c r="L146" s="163"/>
      <c r="M146" s="163"/>
      <c r="N146" s="231"/>
      <c r="O146" s="163"/>
      <c r="P146" s="156" t="s">
        <v>564</v>
      </c>
      <c r="Q146" s="163"/>
      <c r="R146" s="163" t="s">
        <v>569</v>
      </c>
      <c r="S146" s="163"/>
      <c r="T146" s="163"/>
      <c r="U146" s="163"/>
      <c r="V146" s="163"/>
      <c r="W146" s="163"/>
      <c r="X146" s="431"/>
    </row>
    <row r="147" spans="1:24" s="192" customFormat="1" ht="46.5" hidden="1" customHeight="1">
      <c r="A147" s="139">
        <v>26</v>
      </c>
      <c r="B147" s="516" t="s">
        <v>224</v>
      </c>
      <c r="C147" s="517" t="s">
        <v>80</v>
      </c>
      <c r="D147" s="163"/>
      <c r="E147" s="163"/>
      <c r="F147" s="163" t="s">
        <v>526</v>
      </c>
      <c r="G147" s="139" t="s">
        <v>296</v>
      </c>
      <c r="H147" s="139">
        <v>1</v>
      </c>
      <c r="I147" s="163"/>
      <c r="J147" s="163"/>
      <c r="K147" s="163"/>
      <c r="L147" s="163"/>
      <c r="M147" s="163"/>
      <c r="N147" s="231"/>
      <c r="O147" s="163"/>
      <c r="P147" s="156" t="s">
        <v>564</v>
      </c>
      <c r="Q147" s="163"/>
      <c r="R147" s="163" t="s">
        <v>569</v>
      </c>
      <c r="S147" s="163"/>
      <c r="T147" s="163"/>
      <c r="U147" s="163"/>
      <c r="V147" s="163"/>
      <c r="W147" s="163"/>
      <c r="X147" s="431"/>
    </row>
    <row r="148" spans="1:24" s="192" customFormat="1" ht="46.5" hidden="1" customHeight="1">
      <c r="A148" s="139">
        <v>27</v>
      </c>
      <c r="B148" s="516" t="s">
        <v>199</v>
      </c>
      <c r="C148" s="517" t="s">
        <v>80</v>
      </c>
      <c r="D148" s="518"/>
      <c r="E148" s="518"/>
      <c r="F148" s="163" t="s">
        <v>526</v>
      </c>
      <c r="G148" s="139" t="s">
        <v>296</v>
      </c>
      <c r="H148" s="139">
        <v>1</v>
      </c>
      <c r="I148" s="518"/>
      <c r="J148" s="518"/>
      <c r="K148" s="518"/>
      <c r="L148" s="518"/>
      <c r="M148" s="518"/>
      <c r="N148" s="519"/>
      <c r="O148" s="518"/>
      <c r="P148" s="156" t="s">
        <v>564</v>
      </c>
      <c r="Q148" s="518"/>
      <c r="R148" s="163" t="s">
        <v>569</v>
      </c>
      <c r="S148" s="518"/>
      <c r="T148" s="518"/>
      <c r="U148" s="518"/>
      <c r="V148" s="518"/>
      <c r="W148" s="518"/>
      <c r="X148" s="431"/>
    </row>
    <row r="149" spans="1:24" s="192" customFormat="1" ht="46.5" hidden="1" customHeight="1">
      <c r="A149" s="139">
        <v>28</v>
      </c>
      <c r="B149" s="516" t="s">
        <v>203</v>
      </c>
      <c r="C149" s="517" t="s">
        <v>80</v>
      </c>
      <c r="D149" s="518"/>
      <c r="E149" s="518"/>
      <c r="F149" s="163" t="s">
        <v>526</v>
      </c>
      <c r="G149" s="139" t="s">
        <v>296</v>
      </c>
      <c r="H149" s="139">
        <v>1</v>
      </c>
      <c r="I149" s="518"/>
      <c r="J149" s="518"/>
      <c r="K149" s="518"/>
      <c r="L149" s="518"/>
      <c r="M149" s="518"/>
      <c r="N149" s="519"/>
      <c r="O149" s="518"/>
      <c r="P149" s="156" t="s">
        <v>564</v>
      </c>
      <c r="Q149" s="518"/>
      <c r="R149" s="163" t="s">
        <v>569</v>
      </c>
      <c r="S149" s="518"/>
      <c r="T149" s="518"/>
      <c r="U149" s="518"/>
      <c r="V149" s="518"/>
      <c r="W149" s="518"/>
      <c r="X149" s="431"/>
    </row>
    <row r="150" spans="1:24" s="192" customFormat="1" ht="46.5" hidden="1" customHeight="1">
      <c r="A150" s="139">
        <v>29</v>
      </c>
      <c r="B150" s="516" t="s">
        <v>207</v>
      </c>
      <c r="C150" s="517" t="s">
        <v>80</v>
      </c>
      <c r="D150" s="163"/>
      <c r="E150" s="163"/>
      <c r="F150" s="163" t="s">
        <v>526</v>
      </c>
      <c r="G150" s="139" t="s">
        <v>296</v>
      </c>
      <c r="H150" s="139">
        <v>1</v>
      </c>
      <c r="I150" s="163"/>
      <c r="J150" s="163"/>
      <c r="K150" s="163"/>
      <c r="L150" s="163"/>
      <c r="M150" s="163"/>
      <c r="N150" s="231"/>
      <c r="O150" s="163"/>
      <c r="P150" s="156" t="s">
        <v>564</v>
      </c>
      <c r="Q150" s="163"/>
      <c r="R150" s="163" t="s">
        <v>569</v>
      </c>
      <c r="S150" s="163"/>
      <c r="T150" s="163"/>
      <c r="U150" s="163"/>
      <c r="V150" s="163"/>
      <c r="W150" s="163"/>
      <c r="X150" s="431"/>
    </row>
    <row r="151" spans="1:24" s="192" customFormat="1" ht="46.5" hidden="1" customHeight="1">
      <c r="A151" s="139">
        <v>30</v>
      </c>
      <c r="B151" s="163" t="s">
        <v>570</v>
      </c>
      <c r="C151" s="163" t="s">
        <v>80</v>
      </c>
      <c r="D151" s="163"/>
      <c r="E151" s="163"/>
      <c r="F151" s="163" t="s">
        <v>526</v>
      </c>
      <c r="G151" s="139" t="s">
        <v>296</v>
      </c>
      <c r="H151" s="139">
        <v>1</v>
      </c>
      <c r="I151" s="163"/>
      <c r="J151" s="163"/>
      <c r="K151" s="163"/>
      <c r="L151" s="163"/>
      <c r="M151" s="163"/>
      <c r="N151" s="231"/>
      <c r="O151" s="163"/>
      <c r="P151" s="156" t="s">
        <v>564</v>
      </c>
      <c r="Q151" s="163"/>
      <c r="R151" s="163"/>
      <c r="S151" s="164" t="s">
        <v>571</v>
      </c>
      <c r="T151" s="163"/>
      <c r="U151" s="163"/>
      <c r="V151" s="163"/>
      <c r="W151" s="163"/>
    </row>
    <row r="152" spans="1:24" s="192" customFormat="1" ht="46.5" hidden="1" customHeight="1">
      <c r="A152" s="139">
        <v>31</v>
      </c>
      <c r="B152" s="163" t="s">
        <v>572</v>
      </c>
      <c r="C152" s="163" t="s">
        <v>80</v>
      </c>
      <c r="D152" s="140"/>
      <c r="E152" s="140"/>
      <c r="F152" s="163" t="s">
        <v>526</v>
      </c>
      <c r="G152" s="139" t="s">
        <v>296</v>
      </c>
      <c r="H152" s="139">
        <v>1</v>
      </c>
      <c r="I152" s="163"/>
      <c r="J152" s="140"/>
      <c r="K152" s="163"/>
      <c r="L152" s="163"/>
      <c r="M152" s="163"/>
      <c r="N152" s="231"/>
      <c r="O152" s="163"/>
      <c r="P152" s="156" t="s">
        <v>564</v>
      </c>
      <c r="Q152" s="140"/>
      <c r="R152" s="140"/>
      <c r="S152" s="140"/>
      <c r="T152" s="140"/>
      <c r="U152" s="140"/>
      <c r="V152" s="140"/>
      <c r="W152" s="140"/>
    </row>
    <row r="153" spans="1:24" s="192" customFormat="1" ht="46.5" hidden="1" customHeight="1">
      <c r="A153" s="139">
        <v>32</v>
      </c>
      <c r="B153" s="163" t="s">
        <v>548</v>
      </c>
      <c r="C153" s="163" t="s">
        <v>80</v>
      </c>
      <c r="D153" s="140"/>
      <c r="E153" s="140"/>
      <c r="F153" s="163" t="s">
        <v>526</v>
      </c>
      <c r="G153" s="139" t="s">
        <v>296</v>
      </c>
      <c r="H153" s="139">
        <v>1</v>
      </c>
      <c r="I153" s="163"/>
      <c r="J153" s="140"/>
      <c r="K153" s="163"/>
      <c r="L153" s="163"/>
      <c r="M153" s="163"/>
      <c r="N153" s="231"/>
      <c r="O153" s="163"/>
      <c r="P153" s="156" t="s">
        <v>564</v>
      </c>
      <c r="Q153" s="140"/>
      <c r="R153" s="140"/>
      <c r="S153" s="428" t="s">
        <v>565</v>
      </c>
      <c r="T153" s="140"/>
      <c r="U153" s="140"/>
      <c r="V153" s="140"/>
      <c r="W153" s="140"/>
    </row>
    <row r="154" spans="1:24" s="431" customFormat="1" ht="34.5" hidden="1" customHeight="1">
      <c r="A154" s="451"/>
      <c r="B154" s="451" t="s">
        <v>649</v>
      </c>
      <c r="C154" s="452"/>
      <c r="D154" s="452"/>
      <c r="E154" s="452"/>
      <c r="F154" s="452"/>
      <c r="G154" s="452"/>
      <c r="H154" s="452"/>
      <c r="I154" s="452"/>
      <c r="J154" s="452"/>
      <c r="K154" s="452"/>
      <c r="L154" s="452"/>
      <c r="M154" s="452"/>
      <c r="N154" s="498"/>
      <c r="O154" s="452"/>
      <c r="P154" s="502"/>
      <c r="Q154" s="452"/>
      <c r="R154" s="452"/>
      <c r="S154" s="452"/>
      <c r="T154" s="149" t="s">
        <v>650</v>
      </c>
      <c r="U154" s="452"/>
      <c r="V154" s="453"/>
      <c r="W154" s="251"/>
      <c r="X154" s="155"/>
    </row>
    <row r="155" spans="1:24" s="431" customFormat="1" ht="35.25" customHeight="1">
      <c r="A155" s="139">
        <v>1</v>
      </c>
      <c r="B155" s="163" t="s">
        <v>301</v>
      </c>
      <c r="C155" s="163" t="s">
        <v>79</v>
      </c>
      <c r="D155" s="163"/>
      <c r="E155" s="163"/>
      <c r="F155" s="163" t="s">
        <v>295</v>
      </c>
      <c r="G155" s="139" t="s">
        <v>296</v>
      </c>
      <c r="H155" s="139">
        <v>1</v>
      </c>
      <c r="I155" s="163">
        <v>24004</v>
      </c>
      <c r="J155" s="140" t="str">
        <f>INDEX('6. data thông tin nhân sự'!C:C, MATCH('04. TH THEO LOẠI TS'!I155, '6. data thông tin nhân sự'!B:B,0))</f>
        <v>Vũ Anh Duy</v>
      </c>
      <c r="K155" s="140" t="str">
        <f>INDEX('6. data thông tin nhân sự'!G:G, MATCH('04. TH THEO LOẠI TS'!I155, '6. data thông tin nhân sự'!B:B,0))</f>
        <v>Sản xuất Video - Video Prodution</v>
      </c>
      <c r="L155" s="163" t="str">
        <f>INDEX('6. data thông tin nhân sự'!D:D, MATCH('04. TH THEO LOẠI TS'!I155, '6. data thông tin nhân sự'!B:B,0))</f>
        <v>Chính thức</v>
      </c>
      <c r="M155" s="139"/>
      <c r="N155" s="427">
        <v>46202</v>
      </c>
      <c r="O155" s="163"/>
      <c r="P155" s="140" t="s">
        <v>298</v>
      </c>
      <c r="Q155" s="163"/>
      <c r="R155" s="163"/>
      <c r="S155" s="163"/>
      <c r="T155" s="165"/>
      <c r="U155" s="163"/>
      <c r="V155" s="163"/>
      <c r="W155" s="163"/>
      <c r="X155" s="192"/>
    </row>
    <row r="156" spans="1:24" s="431" customFormat="1" ht="35.25" customHeight="1">
      <c r="A156" s="139">
        <v>2</v>
      </c>
      <c r="B156" s="163" t="s">
        <v>149</v>
      </c>
      <c r="C156" s="163" t="s">
        <v>79</v>
      </c>
      <c r="D156" s="163"/>
      <c r="E156" s="163"/>
      <c r="F156" s="163" t="s">
        <v>295</v>
      </c>
      <c r="G156" s="139" t="s">
        <v>296</v>
      </c>
      <c r="H156" s="139">
        <v>1</v>
      </c>
      <c r="I156" s="163">
        <v>25045</v>
      </c>
      <c r="J156" s="140" t="str">
        <f>INDEX('6. data thông tin nhân sự'!C:C, MATCH('04. TH THEO LOẠI TS'!I156, '6. data thông tin nhân sự'!B:B,0))</f>
        <v>Nguyễn Anh Tuấn</v>
      </c>
      <c r="K156" s="140" t="str">
        <f>INDEX('6. data thông tin nhân sự'!G:G, MATCH('04. TH THEO LOẠI TS'!I156, '6. data thông tin nhân sự'!B:B,0))</f>
        <v>Sản xuất Video - Video Prodution</v>
      </c>
      <c r="L156" s="163" t="str">
        <f>INDEX('6. data thông tin nhân sự'!D:D, MATCH('04. TH THEO LOẠI TS'!I156, '6. data thông tin nhân sự'!B:B,0))</f>
        <v>Chính thức</v>
      </c>
      <c r="M156" s="139"/>
      <c r="N156" s="427">
        <v>46006</v>
      </c>
      <c r="O156" s="163"/>
      <c r="P156" s="140" t="s">
        <v>298</v>
      </c>
      <c r="Q156" s="426"/>
      <c r="R156" s="163"/>
      <c r="S156" s="163"/>
      <c r="T156" s="163"/>
      <c r="U156" s="163"/>
      <c r="V156" s="163"/>
      <c r="W156" s="163"/>
      <c r="X156" s="192"/>
    </row>
    <row r="157" spans="1:24" s="431" customFormat="1" ht="35.25" customHeight="1">
      <c r="A157" s="139">
        <v>3</v>
      </c>
      <c r="B157" s="140" t="s">
        <v>352</v>
      </c>
      <c r="C157" s="163" t="s">
        <v>79</v>
      </c>
      <c r="D157" s="140"/>
      <c r="E157" s="140"/>
      <c r="F157" s="140" t="s">
        <v>345</v>
      </c>
      <c r="G157" s="139" t="s">
        <v>296</v>
      </c>
      <c r="H157" s="139">
        <v>1</v>
      </c>
      <c r="I157" s="429">
        <v>20002</v>
      </c>
      <c r="J157" s="140" t="str">
        <f>INDEX('6. data thông tin nhân sự'!C:C, MATCH('04. TH THEO LOẠI TS'!I157, '6. data thông tin nhân sự'!B:B,0))</f>
        <v>Đào Thị Thùy</v>
      </c>
      <c r="K157" s="140" t="str">
        <f>INDEX('6. data thông tin nhân sự'!G:G, MATCH('04. TH THEO LOẠI TS'!I157, '6. data thông tin nhân sự'!B:B,0))</f>
        <v>Truyền thông - Marketing</v>
      </c>
      <c r="L157" s="163" t="str">
        <f>INDEX('6. data thông tin nhân sự'!D:D, MATCH('04. TH THEO LOẠI TS'!I157, '6. data thông tin nhân sự'!B:B,0))</f>
        <v>Chính thức</v>
      </c>
      <c r="M157" s="163"/>
      <c r="N157" s="427">
        <v>45839</v>
      </c>
      <c r="O157" s="163"/>
      <c r="P157" s="140" t="s">
        <v>298</v>
      </c>
      <c r="Q157" s="140"/>
      <c r="R157" s="140"/>
      <c r="S157" s="164"/>
      <c r="T157" s="140"/>
      <c r="U157" s="140"/>
      <c r="V157" s="140"/>
      <c r="W157" s="140"/>
      <c r="X157" s="192"/>
    </row>
    <row r="158" spans="1:24" s="431" customFormat="1" ht="35.25" customHeight="1">
      <c r="A158" s="139">
        <v>4</v>
      </c>
      <c r="B158" s="140" t="s">
        <v>362</v>
      </c>
      <c r="C158" s="140" t="s">
        <v>79</v>
      </c>
      <c r="D158" s="140"/>
      <c r="E158" s="140"/>
      <c r="F158" s="140" t="s">
        <v>345</v>
      </c>
      <c r="G158" s="139" t="s">
        <v>296</v>
      </c>
      <c r="H158" s="139">
        <v>1</v>
      </c>
      <c r="I158" s="163">
        <v>26019</v>
      </c>
      <c r="J158" s="140" t="str">
        <f>INDEX('6. data thông tin nhân sự'!C:C, MATCH('04. TH THEO LOẠI TS'!I158, '6. data thông tin nhân sự'!B:B,0))</f>
        <v>Vũ Thị Bích Ngọc</v>
      </c>
      <c r="K158" s="140" t="str">
        <f>INDEX('6. data thông tin nhân sự'!G:G, MATCH('04. TH THEO LOẠI TS'!I158, '6. data thông tin nhân sự'!B:B,0))</f>
        <v>Truyền thông - Marketing</v>
      </c>
      <c r="L158" s="163" t="str">
        <f>INDEX('6. data thông tin nhân sự'!D:D, MATCH('04. TH THEO LOẠI TS'!I158, '6. data thông tin nhân sự'!B:B,0))</f>
        <v>Chính thức</v>
      </c>
      <c r="M158" s="139"/>
      <c r="N158" s="427">
        <v>46204</v>
      </c>
      <c r="O158" s="140"/>
      <c r="P158" s="140" t="s">
        <v>298</v>
      </c>
      <c r="Q158" s="140"/>
      <c r="R158" s="140"/>
      <c r="S158" s="140" t="s">
        <v>361</v>
      </c>
      <c r="T158" s="140"/>
      <c r="U158" s="140"/>
      <c r="V158" s="140"/>
      <c r="W158" s="140"/>
      <c r="X158" s="192"/>
    </row>
    <row r="159" spans="1:24" s="431" customFormat="1" ht="35.25" customHeight="1">
      <c r="A159" s="139">
        <v>5</v>
      </c>
      <c r="B159" s="140" t="s">
        <v>357</v>
      </c>
      <c r="C159" s="140" t="s">
        <v>79</v>
      </c>
      <c r="D159" s="140"/>
      <c r="E159" s="140"/>
      <c r="F159" s="140" t="s">
        <v>345</v>
      </c>
      <c r="G159" s="139" t="s">
        <v>296</v>
      </c>
      <c r="H159" s="139">
        <v>1</v>
      </c>
      <c r="I159" s="163">
        <v>22002</v>
      </c>
      <c r="J159" s="140" t="str">
        <f>INDEX('6. data thông tin nhân sự'!C:C, MATCH('04. TH THEO LOẠI TS'!I159, '6. data thông tin nhân sự'!B:B,0))</f>
        <v>Ngô Khánh Vi</v>
      </c>
      <c r="K159" s="140" t="str">
        <f>INDEX('6. data thông tin nhân sự'!G:G, MATCH('04. TH THEO LOẠI TS'!I159, '6. data thông tin nhân sự'!B:B,0))</f>
        <v>Truyền thông - Marketing</v>
      </c>
      <c r="L159" s="163" t="str">
        <f>INDEX('6. data thông tin nhân sự'!D:D, MATCH('04. TH THEO LOẠI TS'!I159, '6. data thông tin nhân sự'!B:B,0))</f>
        <v>Chính thức</v>
      </c>
      <c r="M159" s="139"/>
      <c r="N159" s="427">
        <v>46204</v>
      </c>
      <c r="O159" s="163"/>
      <c r="P159" s="140" t="s">
        <v>298</v>
      </c>
      <c r="Q159" s="140"/>
      <c r="R159" s="140"/>
      <c r="S159" s="140"/>
      <c r="T159" s="140"/>
      <c r="U159" s="140"/>
      <c r="V159" s="140"/>
      <c r="W159" s="140"/>
      <c r="X159" s="192"/>
    </row>
    <row r="160" spans="1:24" s="431" customFormat="1" ht="35.25" customHeight="1">
      <c r="A160" s="139">
        <v>6</v>
      </c>
      <c r="B160" s="140" t="s">
        <v>392</v>
      </c>
      <c r="C160" s="140" t="s">
        <v>79</v>
      </c>
      <c r="D160" s="140"/>
      <c r="E160" s="140"/>
      <c r="F160" s="140" t="s">
        <v>373</v>
      </c>
      <c r="G160" s="139" t="s">
        <v>296</v>
      </c>
      <c r="H160" s="139">
        <v>1</v>
      </c>
      <c r="I160" s="163">
        <v>26023</v>
      </c>
      <c r="J160" s="140" t="str">
        <f>INDEX('6. data thông tin nhân sự'!C:C, MATCH('04. TH THEO LOẠI TS'!I160, '6. data thông tin nhân sự'!B:B,0))</f>
        <v>Lê Đức Minh</v>
      </c>
      <c r="K160" s="140" t="str">
        <f>INDEX('6. data thông tin nhân sự'!G:G, MATCH('04. TH THEO LOẠI TS'!I160, '6. data thông tin nhân sự'!B:B,0))</f>
        <v>Sáng tạo - Creative</v>
      </c>
      <c r="L160" s="163" t="str">
        <f>INDEX('6. data thông tin nhân sự'!D:D, MATCH('04. TH THEO LOẠI TS'!I160, '6. data thông tin nhân sự'!B:B,0))</f>
        <v>Thử việc</v>
      </c>
      <c r="M160" s="140"/>
      <c r="N160" s="427">
        <v>46237</v>
      </c>
      <c r="O160" s="163"/>
      <c r="P160" s="140" t="s">
        <v>298</v>
      </c>
      <c r="Q160" s="140"/>
      <c r="R160" s="140"/>
      <c r="S160" s="140"/>
      <c r="T160" s="140"/>
      <c r="U160" s="140"/>
      <c r="V160" s="140"/>
      <c r="W160" s="140"/>
      <c r="X160" s="192"/>
    </row>
    <row r="161" spans="1:24" s="431" customFormat="1" ht="35.25" customHeight="1">
      <c r="A161" s="139">
        <v>7</v>
      </c>
      <c r="B161" s="140" t="s">
        <v>651</v>
      </c>
      <c r="C161" s="140" t="s">
        <v>79</v>
      </c>
      <c r="D161" s="140"/>
      <c r="E161" s="140"/>
      <c r="F161" s="163" t="s">
        <v>373</v>
      </c>
      <c r="G161" s="139" t="s">
        <v>296</v>
      </c>
      <c r="H161" s="139">
        <v>1</v>
      </c>
      <c r="I161" s="163">
        <v>26001</v>
      </c>
      <c r="J161" s="140" t="str">
        <f>INDEX('6. data thông tin nhân sự'!C:C, MATCH('04. TH THEO LOẠI TS'!I161, '6. data thông tin nhân sự'!B:B,0))</f>
        <v>Tô Hồng Đức</v>
      </c>
      <c r="K161" s="140" t="str">
        <f>INDEX('6. data thông tin nhân sự'!G:G, MATCH('04. TH THEO LOẠI TS'!I161, '6. data thông tin nhân sự'!B:B,0))</f>
        <v>Sáng tạo - Creative</v>
      </c>
      <c r="L161" s="163" t="str">
        <f>INDEX('6. data thông tin nhân sự'!D:D, MATCH('04. TH THEO LOẠI TS'!I161, '6. data thông tin nhân sự'!B:B,0))</f>
        <v>Chính thức</v>
      </c>
      <c r="M161" s="140"/>
      <c r="N161" s="427">
        <v>46217</v>
      </c>
      <c r="O161" s="163"/>
      <c r="P161" s="140" t="s">
        <v>564</v>
      </c>
      <c r="Q161" s="163"/>
      <c r="R161" s="163" t="s">
        <v>652</v>
      </c>
      <c r="S161" s="163"/>
      <c r="T161" s="163"/>
      <c r="U161" s="163"/>
      <c r="V161" s="163"/>
      <c r="W161" s="163"/>
      <c r="X161" s="192"/>
    </row>
    <row r="162" spans="1:24" s="431" customFormat="1" ht="35.25" customHeight="1">
      <c r="A162" s="139">
        <v>8</v>
      </c>
      <c r="B162" s="140" t="s">
        <v>397</v>
      </c>
      <c r="C162" s="140" t="s">
        <v>79</v>
      </c>
      <c r="D162" s="140"/>
      <c r="E162" s="140"/>
      <c r="F162" s="163" t="s">
        <v>373</v>
      </c>
      <c r="G162" s="139" t="s">
        <v>296</v>
      </c>
      <c r="H162" s="139">
        <v>1</v>
      </c>
      <c r="I162" s="163">
        <v>26001</v>
      </c>
      <c r="J162" s="140" t="str">
        <f>INDEX('6. data thông tin nhân sự'!C:C, MATCH('04. TH THEO LOẠI TS'!I162, '6. data thông tin nhân sự'!B:B,0))</f>
        <v>Tô Hồng Đức</v>
      </c>
      <c r="K162" s="140" t="str">
        <f>INDEX('6. data thông tin nhân sự'!G:G, MATCH('04. TH THEO LOẠI TS'!I162, '6. data thông tin nhân sự'!B:B,0))</f>
        <v>Sáng tạo - Creative</v>
      </c>
      <c r="L162" s="163" t="str">
        <f>INDEX('6. data thông tin nhân sự'!D:D, MATCH('04. TH THEO LOẠI TS'!I162, '6. data thông tin nhân sự'!B:B,0))</f>
        <v>Chính thức</v>
      </c>
      <c r="M162" s="140"/>
      <c r="N162" s="427">
        <v>46237</v>
      </c>
      <c r="O162" s="163"/>
      <c r="P162" s="140" t="s">
        <v>298</v>
      </c>
      <c r="Q162" s="163"/>
      <c r="R162" s="163"/>
      <c r="S162" s="163" t="s">
        <v>641</v>
      </c>
      <c r="T162" s="163"/>
      <c r="U162" s="163"/>
      <c r="V162" s="163"/>
      <c r="W162" s="163"/>
      <c r="X162" s="192"/>
    </row>
    <row r="163" spans="1:24" s="431" customFormat="1" ht="35.25" customHeight="1">
      <c r="A163" s="139">
        <v>9</v>
      </c>
      <c r="B163" s="140" t="s">
        <v>427</v>
      </c>
      <c r="C163" s="140" t="s">
        <v>79</v>
      </c>
      <c r="D163" s="140"/>
      <c r="E163" s="140"/>
      <c r="F163" s="140" t="s">
        <v>408</v>
      </c>
      <c r="G163" s="139" t="s">
        <v>296</v>
      </c>
      <c r="H163" s="139">
        <v>1</v>
      </c>
      <c r="I163" s="163">
        <v>25028</v>
      </c>
      <c r="J163" s="140" t="str">
        <f>INDEX('6. data thông tin nhân sự'!C:C, MATCH('04. TH THEO LOẠI TS'!I163, '6. data thông tin nhân sự'!B:B,0))</f>
        <v>Nguyễn Phương Anh</v>
      </c>
      <c r="K163" s="140" t="str">
        <f>INDEX('6. data thông tin nhân sự'!G:G, MATCH('04. TH THEO LOẠI TS'!I163, '6. data thông tin nhân sự'!B:B,0))</f>
        <v>Sự kiện - Event</v>
      </c>
      <c r="L163" s="163" t="str">
        <f>INDEX('6. data thông tin nhân sự'!D:D, MATCH('04. TH THEO LOẠI TS'!I163, '6. data thông tin nhân sự'!B:B,0))</f>
        <v>Chính thức</v>
      </c>
      <c r="M163" s="140"/>
      <c r="N163" s="427">
        <v>46204</v>
      </c>
      <c r="O163" s="163"/>
      <c r="P163" s="140" t="s">
        <v>298</v>
      </c>
      <c r="Q163" s="140"/>
      <c r="R163" s="140"/>
      <c r="S163" s="140"/>
      <c r="T163" s="140"/>
      <c r="U163" s="140"/>
      <c r="V163" s="140"/>
      <c r="W163" s="140"/>
      <c r="X163" s="192"/>
    </row>
    <row r="164" spans="1:24" s="431" customFormat="1" ht="35.25" customHeight="1">
      <c r="A164" s="139">
        <v>10</v>
      </c>
      <c r="B164" s="140" t="s">
        <v>433</v>
      </c>
      <c r="C164" s="140" t="s">
        <v>79</v>
      </c>
      <c r="D164" s="140"/>
      <c r="E164" s="140"/>
      <c r="F164" s="140" t="s">
        <v>408</v>
      </c>
      <c r="G164" s="139" t="s">
        <v>296</v>
      </c>
      <c r="H164" s="139">
        <v>1</v>
      </c>
      <c r="I164" s="163">
        <v>25012</v>
      </c>
      <c r="J164" s="140" t="str">
        <f>INDEX('6. data thông tin nhân sự'!C:C, MATCH('04. TH THEO LOẠI TS'!I164, '6. data thông tin nhân sự'!B:B,0))</f>
        <v>Dương Nguyên Bảo</v>
      </c>
      <c r="K164" s="140" t="str">
        <f>INDEX('6. data thông tin nhân sự'!G:G, MATCH('04. TH THEO LOẠI TS'!I164, '6. data thông tin nhân sự'!B:B,0))</f>
        <v>Sự kiện - Event</v>
      </c>
      <c r="L164" s="163" t="str">
        <f>INDEX('6. data thông tin nhân sự'!D:D, MATCH('04. TH THEO LOẠI TS'!I164, '6. data thông tin nhân sự'!B:B,0))</f>
        <v>Chính thức</v>
      </c>
      <c r="M164" s="140"/>
      <c r="N164" s="427">
        <v>46204</v>
      </c>
      <c r="O164" s="163"/>
      <c r="P164" s="140" t="s">
        <v>298</v>
      </c>
      <c r="Q164" s="140"/>
      <c r="R164" s="140"/>
      <c r="S164" s="140"/>
      <c r="T164" s="140"/>
      <c r="U164" s="140"/>
      <c r="V164" s="140"/>
      <c r="W164" s="140"/>
      <c r="X164" s="192"/>
    </row>
    <row r="165" spans="1:24" s="431" customFormat="1" ht="35.25" customHeight="1">
      <c r="A165" s="139">
        <v>11</v>
      </c>
      <c r="B165" s="140" t="s">
        <v>439</v>
      </c>
      <c r="C165" s="140" t="s">
        <v>79</v>
      </c>
      <c r="D165" s="140"/>
      <c r="E165" s="140"/>
      <c r="F165" s="140" t="s">
        <v>408</v>
      </c>
      <c r="G165" s="139" t="s">
        <v>296</v>
      </c>
      <c r="H165" s="139">
        <v>1</v>
      </c>
      <c r="I165" s="163">
        <v>25030</v>
      </c>
      <c r="J165" s="140" t="str">
        <f>INDEX('6. data thông tin nhân sự'!C:C, MATCH('04. TH THEO LOẠI TS'!I165, '6. data thông tin nhân sự'!B:B,0))</f>
        <v>Hoàng Tuấn Anh</v>
      </c>
      <c r="K165" s="140" t="str">
        <f>INDEX('6. data thông tin nhân sự'!G:G, MATCH('04. TH THEO LOẠI TS'!I165, '6. data thông tin nhân sự'!B:B,0))</f>
        <v>Sự kiện - Event</v>
      </c>
      <c r="L165" s="163" t="str">
        <f>INDEX('6. data thông tin nhân sự'!D:D, MATCH('04. TH THEO LOẠI TS'!I165, '6. data thông tin nhân sự'!B:B,0))</f>
        <v>Chính thức</v>
      </c>
      <c r="M165" s="139"/>
      <c r="N165" s="427">
        <v>46204</v>
      </c>
      <c r="O165" s="163"/>
      <c r="P165" s="140" t="s">
        <v>298</v>
      </c>
      <c r="Q165" s="140"/>
      <c r="R165" s="140"/>
      <c r="S165" s="140"/>
      <c r="T165" s="140"/>
      <c r="U165" s="140"/>
      <c r="V165" s="140"/>
      <c r="W165" s="140"/>
      <c r="X165" s="192"/>
    </row>
    <row r="166" spans="1:24" s="431" customFormat="1" ht="35.25" customHeight="1">
      <c r="A166" s="139">
        <v>12</v>
      </c>
      <c r="B166" s="140" t="s">
        <v>450</v>
      </c>
      <c r="C166" s="140" t="s">
        <v>79</v>
      </c>
      <c r="D166" s="140"/>
      <c r="E166" s="140"/>
      <c r="F166" s="140" t="s">
        <v>443</v>
      </c>
      <c r="G166" s="139" t="s">
        <v>296</v>
      </c>
      <c r="H166" s="139">
        <v>1</v>
      </c>
      <c r="I166" s="163">
        <v>21002</v>
      </c>
      <c r="J166" s="140" t="str">
        <f>INDEX('6. data thông tin nhân sự'!C:C, MATCH('04. TH THEO LOẠI TS'!I166, '6. data thông tin nhân sự'!B:B,0))</f>
        <v>Nguyễn Phương Mai</v>
      </c>
      <c r="K166" s="140" t="str">
        <f>INDEX('6. data thông tin nhân sự'!G:G, MATCH('04. TH THEO LOẠI TS'!I166, '6. data thông tin nhân sự'!B:B,0))</f>
        <v>Thiết kế - Design</v>
      </c>
      <c r="L166" s="163" t="str">
        <f>INDEX('6. data thông tin nhân sự'!D:D, MATCH('04. TH THEO LOẠI TS'!I166, '6. data thông tin nhân sự'!B:B,0))</f>
        <v>Chính thức</v>
      </c>
      <c r="M166" s="139"/>
      <c r="N166" s="427">
        <v>46204</v>
      </c>
      <c r="O166" s="140"/>
      <c r="P166" s="140" t="s">
        <v>298</v>
      </c>
      <c r="Q166" s="140"/>
      <c r="R166" s="140"/>
      <c r="S166" s="140"/>
      <c r="T166" s="140"/>
      <c r="U166" s="140"/>
      <c r="V166" s="140"/>
      <c r="W166" s="140"/>
      <c r="X166" s="192"/>
    </row>
    <row r="167" spans="1:24" s="431" customFormat="1" ht="35.25" customHeight="1">
      <c r="A167" s="139">
        <v>13</v>
      </c>
      <c r="B167" s="140" t="s">
        <v>460</v>
      </c>
      <c r="C167" s="140" t="s">
        <v>79</v>
      </c>
      <c r="D167" s="140"/>
      <c r="E167" s="140"/>
      <c r="F167" s="140" t="s">
        <v>443</v>
      </c>
      <c r="G167" s="139" t="s">
        <v>296</v>
      </c>
      <c r="H167" s="139">
        <v>1</v>
      </c>
      <c r="I167" s="163">
        <v>23001</v>
      </c>
      <c r="J167" s="140" t="str">
        <f>INDEX('6. data thông tin nhân sự'!C:C, MATCH('04. TH THEO LOẠI TS'!I167, '6. data thông tin nhân sự'!B:B,0))</f>
        <v>Thái Thị Thanh Thảo</v>
      </c>
      <c r="K167" s="140" t="str">
        <f>INDEX('6. data thông tin nhân sự'!G:G, MATCH('04. TH THEO LOẠI TS'!I167, '6. data thông tin nhân sự'!B:B,0))</f>
        <v>Thiết kế - Design</v>
      </c>
      <c r="L167" s="163" t="str">
        <f>INDEX('6. data thông tin nhân sự'!D:D, MATCH('04. TH THEO LOẠI TS'!I167, '6. data thông tin nhân sự'!B:B,0))</f>
        <v>Chính thức</v>
      </c>
      <c r="M167" s="139"/>
      <c r="N167" s="427">
        <v>46204</v>
      </c>
      <c r="O167" s="140"/>
      <c r="P167" s="140" t="s">
        <v>298</v>
      </c>
      <c r="Q167" s="140"/>
      <c r="R167" s="140"/>
      <c r="S167" s="140"/>
      <c r="T167" s="140"/>
      <c r="U167" s="140"/>
      <c r="V167" s="140"/>
      <c r="W167" s="140"/>
      <c r="X167" s="192"/>
    </row>
    <row r="168" spans="1:24" s="431" customFormat="1" ht="35.25" customHeight="1">
      <c r="A168" s="139">
        <v>14</v>
      </c>
      <c r="B168" s="140" t="s">
        <v>467</v>
      </c>
      <c r="C168" s="140" t="s">
        <v>79</v>
      </c>
      <c r="D168" s="140"/>
      <c r="E168" s="140"/>
      <c r="F168" s="140" t="s">
        <v>443</v>
      </c>
      <c r="G168" s="139" t="s">
        <v>296</v>
      </c>
      <c r="H168" s="139">
        <v>1</v>
      </c>
      <c r="I168" s="163">
        <v>26003</v>
      </c>
      <c r="J168" s="140" t="str">
        <f>INDEX('6. data thông tin nhân sự'!C:C, MATCH('04. TH THEO LOẠI TS'!I168, '6. data thông tin nhân sự'!B:B,0))</f>
        <v>Vũ Đăng Duy</v>
      </c>
      <c r="K168" s="140" t="str">
        <f>INDEX('6. data thông tin nhân sự'!G:G, MATCH('04. TH THEO LOẠI TS'!I168, '6. data thông tin nhân sự'!B:B,0))</f>
        <v>Thiết kế - Design</v>
      </c>
      <c r="L168" s="163" t="str">
        <f>INDEX('6. data thông tin nhân sự'!D:D, MATCH('04. TH THEO LOẠI TS'!I168, '6. data thông tin nhân sự'!B:B,0))</f>
        <v>Chính thức</v>
      </c>
      <c r="M168" s="139"/>
      <c r="N168" s="427">
        <v>46204</v>
      </c>
      <c r="O168" s="140"/>
      <c r="P168" s="140" t="s">
        <v>298</v>
      </c>
      <c r="Q168" s="140"/>
      <c r="R168" s="140"/>
      <c r="S168" s="140" t="s">
        <v>464</v>
      </c>
      <c r="T168" s="140"/>
      <c r="U168" s="140"/>
      <c r="V168" s="140"/>
      <c r="W168" s="140"/>
      <c r="X168" s="192"/>
    </row>
    <row r="169" spans="1:24" s="431" customFormat="1" ht="35.25" customHeight="1">
      <c r="A169" s="139">
        <v>15</v>
      </c>
      <c r="B169" s="140" t="s">
        <v>472</v>
      </c>
      <c r="C169" s="140" t="s">
        <v>79</v>
      </c>
      <c r="D169" s="140"/>
      <c r="E169" s="140"/>
      <c r="F169" s="140" t="s">
        <v>443</v>
      </c>
      <c r="G169" s="139" t="s">
        <v>296</v>
      </c>
      <c r="H169" s="139">
        <v>1</v>
      </c>
      <c r="I169" s="163">
        <v>23002</v>
      </c>
      <c r="J169" s="140" t="str">
        <f>INDEX('6. data thông tin nhân sự'!C:C, MATCH('04. TH THEO LOẠI TS'!I169, '6. data thông tin nhân sự'!B:B,0))</f>
        <v>Vũ Thị Mai Linh</v>
      </c>
      <c r="K169" s="140" t="str">
        <f>INDEX('6. data thông tin nhân sự'!G:G, MATCH('04. TH THEO LOẠI TS'!I169, '6. data thông tin nhân sự'!B:B,0))</f>
        <v>Thiết kế - Design</v>
      </c>
      <c r="L169" s="163" t="str">
        <f>INDEX('6. data thông tin nhân sự'!D:D, MATCH('04. TH THEO LOẠI TS'!I169, '6. data thông tin nhân sự'!B:B,0))</f>
        <v>Chính thức</v>
      </c>
      <c r="M169" s="139"/>
      <c r="N169" s="427">
        <v>46203</v>
      </c>
      <c r="O169" s="140"/>
      <c r="P169" s="140" t="s">
        <v>298</v>
      </c>
      <c r="Q169" s="140"/>
      <c r="R169" s="140"/>
      <c r="S169" s="164"/>
      <c r="T169" s="140"/>
      <c r="U169" s="140"/>
      <c r="V169" s="140"/>
      <c r="W169" s="140"/>
      <c r="X169" s="192"/>
    </row>
    <row r="170" spans="1:24" s="431" customFormat="1" ht="35.25" customHeight="1">
      <c r="A170" s="139">
        <v>16</v>
      </c>
      <c r="B170" s="140" t="s">
        <v>477</v>
      </c>
      <c r="C170" s="140" t="s">
        <v>79</v>
      </c>
      <c r="D170" s="140"/>
      <c r="E170" s="140"/>
      <c r="F170" s="140" t="s">
        <v>443</v>
      </c>
      <c r="G170" s="139" t="s">
        <v>296</v>
      </c>
      <c r="H170" s="139">
        <v>1</v>
      </c>
      <c r="I170" s="163">
        <v>24006</v>
      </c>
      <c r="J170" s="140" t="str">
        <f>INDEX('6. data thông tin nhân sự'!C:C, MATCH('04. TH THEO LOẠI TS'!I170, '6. data thông tin nhân sự'!B:B,0))</f>
        <v>Nguyễn Thị Thuỷ Tiên</v>
      </c>
      <c r="K170" s="140" t="str">
        <f>INDEX('6. data thông tin nhân sự'!G:G, MATCH('04. TH THEO LOẠI TS'!I170, '6. data thông tin nhân sự'!B:B,0))</f>
        <v>Thiết kế - Design</v>
      </c>
      <c r="L170" s="163" t="str">
        <f>INDEX('6. data thông tin nhân sự'!D:D, MATCH('04. TH THEO LOẠI TS'!I170, '6. data thông tin nhân sự'!B:B,0))</f>
        <v>Chính thức</v>
      </c>
      <c r="M170" s="139"/>
      <c r="N170" s="427">
        <v>46204</v>
      </c>
      <c r="O170" s="140"/>
      <c r="P170" s="140" t="s">
        <v>298</v>
      </c>
      <c r="Q170" s="140"/>
      <c r="R170" s="140"/>
      <c r="S170" s="140"/>
      <c r="T170" s="140"/>
      <c r="U170" s="140"/>
      <c r="V170" s="140"/>
      <c r="W170" s="140"/>
      <c r="X170" s="192"/>
    </row>
    <row r="171" spans="1:24" s="431" customFormat="1" ht="35.25" customHeight="1">
      <c r="A171" s="139">
        <v>17</v>
      </c>
      <c r="B171" s="140" t="s">
        <v>482</v>
      </c>
      <c r="C171" s="140" t="s">
        <v>79</v>
      </c>
      <c r="D171" s="140"/>
      <c r="E171" s="140"/>
      <c r="F171" s="140" t="s">
        <v>443</v>
      </c>
      <c r="G171" s="139" t="s">
        <v>296</v>
      </c>
      <c r="H171" s="139">
        <v>1</v>
      </c>
      <c r="I171" s="163">
        <v>24009</v>
      </c>
      <c r="J171" s="140" t="str">
        <f>INDEX('6. data thông tin nhân sự'!C:C, MATCH('04. TH THEO LOẠI TS'!I171, '6. data thông tin nhân sự'!B:B,0))</f>
        <v>Bùi Trịnh Tuệ Khanh</v>
      </c>
      <c r="K171" s="140" t="str">
        <f>INDEX('6. data thông tin nhân sự'!G:G, MATCH('04. TH THEO LOẠI TS'!I171, '6. data thông tin nhân sự'!B:B,0))</f>
        <v>Thiết kế - Design</v>
      </c>
      <c r="L171" s="163" t="str">
        <f>INDEX('6. data thông tin nhân sự'!D:D, MATCH('04. TH THEO LOẠI TS'!I171, '6. data thông tin nhân sự'!B:B,0))</f>
        <v>Chính thức</v>
      </c>
      <c r="M171" s="139"/>
      <c r="N171" s="427">
        <v>46204</v>
      </c>
      <c r="O171" s="140"/>
      <c r="P171" s="140" t="s">
        <v>298</v>
      </c>
      <c r="Q171" s="140"/>
      <c r="R171" s="140"/>
      <c r="S171" s="140"/>
      <c r="T171" s="140"/>
      <c r="U171" s="140"/>
      <c r="V171" s="140"/>
      <c r="W171" s="140"/>
      <c r="X171" s="192"/>
    </row>
    <row r="172" spans="1:24" s="431" customFormat="1" ht="35.25" customHeight="1">
      <c r="A172" s="139">
        <v>18</v>
      </c>
      <c r="B172" s="140" t="s">
        <v>192</v>
      </c>
      <c r="C172" s="140" t="s">
        <v>79</v>
      </c>
      <c r="D172" s="140"/>
      <c r="E172" s="140"/>
      <c r="F172" s="140" t="s">
        <v>443</v>
      </c>
      <c r="G172" s="139" t="s">
        <v>296</v>
      </c>
      <c r="H172" s="139">
        <v>1</v>
      </c>
      <c r="I172" s="149">
        <v>26027</v>
      </c>
      <c r="J172" s="140" t="str">
        <f>INDEX('6. data thông tin nhân sự'!C:C, MATCH('04. TH THEO LOẠI TS'!I172, '6. data thông tin nhân sự'!B:B,0))</f>
        <v>Trần Duy Nam</v>
      </c>
      <c r="K172" s="140" t="str">
        <f>INDEX('6. data thông tin nhân sự'!G:G, MATCH('04. TH THEO LOẠI TS'!I172, '6. data thông tin nhân sự'!B:B,0))</f>
        <v>Thiết kế - Design</v>
      </c>
      <c r="L172" s="163" t="str">
        <f>INDEX('6. data thông tin nhân sự'!D:D, MATCH('04. TH THEO LOẠI TS'!I172, '6. data thông tin nhân sự'!B:B,0))</f>
        <v>Thử việc</v>
      </c>
      <c r="M172" s="139"/>
      <c r="N172" s="427">
        <v>46204</v>
      </c>
      <c r="O172" s="163"/>
      <c r="P172" s="140" t="s">
        <v>298</v>
      </c>
      <c r="Q172" s="163"/>
      <c r="R172" s="163"/>
      <c r="S172" s="163"/>
      <c r="T172" s="163"/>
      <c r="U172" s="163"/>
      <c r="V172" s="163"/>
      <c r="W172" s="163"/>
      <c r="X172" s="192"/>
    </row>
    <row r="173" spans="1:24" s="431" customFormat="1" ht="35.25" customHeight="1">
      <c r="A173" s="139">
        <v>19</v>
      </c>
      <c r="B173" s="140" t="s">
        <v>511</v>
      </c>
      <c r="C173" s="140" t="s">
        <v>79</v>
      </c>
      <c r="D173" s="140"/>
      <c r="E173" s="140"/>
      <c r="F173" s="140" t="s">
        <v>492</v>
      </c>
      <c r="G173" s="139" t="s">
        <v>296</v>
      </c>
      <c r="H173" s="139">
        <v>1</v>
      </c>
      <c r="I173" s="163">
        <v>25039</v>
      </c>
      <c r="J173" s="140" t="str">
        <f>INDEX('6. data thông tin nhân sự'!C:C, MATCH('04. TH THEO LOẠI TS'!I173, '6. data thông tin nhân sự'!B:B,0))</f>
        <v>Nguyễn Thị Thu Hoài</v>
      </c>
      <c r="K173" s="140" t="str">
        <f>INDEX('6. data thông tin nhân sự'!G:G, MATCH('04. TH THEO LOẠI TS'!I173, '6. data thông tin nhân sự'!B:B,0))</f>
        <v>Tài chính &amp; Kế toán  - Finance &amp; Accounting</v>
      </c>
      <c r="L173" s="163" t="str">
        <f>INDEX('6. data thông tin nhân sự'!D:D, MATCH('04. TH THEO LOẠI TS'!I173, '6. data thông tin nhân sự'!B:B,0))</f>
        <v>Chính thức</v>
      </c>
      <c r="M173" s="139"/>
      <c r="N173" s="427">
        <v>46204</v>
      </c>
      <c r="O173" s="163"/>
      <c r="P173" s="140" t="s">
        <v>298</v>
      </c>
      <c r="Q173" s="163"/>
      <c r="R173" s="163"/>
      <c r="S173" s="163" t="s">
        <v>507</v>
      </c>
      <c r="T173" s="163" t="s">
        <v>508</v>
      </c>
      <c r="U173" s="163"/>
      <c r="V173" s="163" t="s">
        <v>509</v>
      </c>
      <c r="W173" s="163"/>
      <c r="X173" s="192"/>
    </row>
    <row r="174" spans="1:24" s="431" customFormat="1" ht="35.25" customHeight="1">
      <c r="A174" s="139">
        <v>20</v>
      </c>
      <c r="B174" s="140" t="s">
        <v>518</v>
      </c>
      <c r="C174" s="140" t="s">
        <v>79</v>
      </c>
      <c r="D174" s="140"/>
      <c r="E174" s="140"/>
      <c r="F174" s="163" t="s">
        <v>492</v>
      </c>
      <c r="G174" s="139" t="s">
        <v>296</v>
      </c>
      <c r="H174" s="139">
        <v>1</v>
      </c>
      <c r="I174" s="163">
        <v>24007</v>
      </c>
      <c r="J174" s="140" t="str">
        <f>INDEX('6. data thông tin nhân sự'!C:C, MATCH('04. TH THEO LOẠI TS'!I174, '6. data thông tin nhân sự'!B:B,0))</f>
        <v>Lê Thương Huyền</v>
      </c>
      <c r="K174" s="140" t="str">
        <f>INDEX('6. data thông tin nhân sự'!G:G, MATCH('04. TH THEO LOẠI TS'!I174, '6. data thông tin nhân sự'!B:B,0))</f>
        <v>Tài chính &amp; Kế toán  - Finance &amp; Accounting</v>
      </c>
      <c r="L174" s="163" t="str">
        <f>INDEX('6. data thông tin nhân sự'!D:D, MATCH('04. TH THEO LOẠI TS'!I174, '6. data thông tin nhân sự'!B:B,0))</f>
        <v>Chính thức</v>
      </c>
      <c r="M174" s="139"/>
      <c r="N174" s="427">
        <v>46204</v>
      </c>
      <c r="O174" s="163"/>
      <c r="P174" s="140" t="s">
        <v>298</v>
      </c>
      <c r="Q174" s="140"/>
      <c r="R174" s="140"/>
      <c r="S174" s="140"/>
      <c r="T174" s="140"/>
      <c r="U174" s="140"/>
      <c r="V174" s="140"/>
      <c r="W174" s="140"/>
      <c r="X174" s="192"/>
    </row>
    <row r="175" spans="1:24" s="431" customFormat="1" ht="35.25" customHeight="1">
      <c r="A175" s="139">
        <v>21</v>
      </c>
      <c r="B175" s="140" t="s">
        <v>524</v>
      </c>
      <c r="C175" s="140" t="s">
        <v>79</v>
      </c>
      <c r="D175" s="140"/>
      <c r="E175" s="140"/>
      <c r="F175" s="163" t="s">
        <v>492</v>
      </c>
      <c r="G175" s="139" t="s">
        <v>296</v>
      </c>
      <c r="H175" s="139">
        <v>1</v>
      </c>
      <c r="I175" s="163">
        <v>25017</v>
      </c>
      <c r="J175" s="140" t="str">
        <f>INDEX('6. data thông tin nhân sự'!C:C, MATCH('04. TH THEO LOẠI TS'!I175, '6. data thông tin nhân sự'!B:B,0))</f>
        <v>Nguyễn Thu Hà</v>
      </c>
      <c r="K175" s="140" t="str">
        <f>INDEX('6. data thông tin nhân sự'!G:G, MATCH('04. TH THEO LOẠI TS'!I175, '6. data thông tin nhân sự'!B:B,0))</f>
        <v>Tài chính &amp; Kế toán  - Finance &amp; Accounting</v>
      </c>
      <c r="L175" s="163" t="str">
        <f>INDEX('6. data thông tin nhân sự'!D:D, MATCH('04. TH THEO LOẠI TS'!I175, '6. data thông tin nhân sự'!B:B,0))</f>
        <v>Chính thức</v>
      </c>
      <c r="M175" s="139"/>
      <c r="N175" s="427">
        <v>46204</v>
      </c>
      <c r="O175" s="163"/>
      <c r="P175" s="140" t="s">
        <v>298</v>
      </c>
      <c r="Q175" s="140"/>
      <c r="R175" s="140"/>
      <c r="S175" s="140"/>
      <c r="T175" s="140"/>
      <c r="U175" s="140"/>
      <c r="V175" s="140"/>
      <c r="W175" s="140"/>
      <c r="X175" s="192"/>
    </row>
    <row r="176" spans="1:24" s="431" customFormat="1" ht="35.25" customHeight="1">
      <c r="A176" s="139">
        <v>22</v>
      </c>
      <c r="B176" s="140" t="s">
        <v>502</v>
      </c>
      <c r="C176" s="140" t="s">
        <v>79</v>
      </c>
      <c r="D176" s="140"/>
      <c r="E176" s="140"/>
      <c r="F176" s="163" t="s">
        <v>492</v>
      </c>
      <c r="G176" s="139" t="s">
        <v>296</v>
      </c>
      <c r="H176" s="139">
        <v>1</v>
      </c>
      <c r="I176" s="163">
        <v>10004</v>
      </c>
      <c r="J176" s="140" t="str">
        <f>INDEX('6. data thông tin nhân sự'!C:C, MATCH('04. TH THEO LOẠI TS'!I176, '6. data thông tin nhân sự'!B:B,0))</f>
        <v>Nguyễn Phương Anh</v>
      </c>
      <c r="K176" s="140" t="str">
        <f>INDEX('6. data thông tin nhân sự'!G:G, MATCH('04. TH THEO LOẠI TS'!I176, '6. data thông tin nhân sự'!B:B,0))</f>
        <v>Tài chính &amp; Kế toán  - Finance &amp; Accounting</v>
      </c>
      <c r="L176" s="163" t="str">
        <f>INDEX('6. data thông tin nhân sự'!D:D, MATCH('04. TH THEO LOẠI TS'!I176, '6. data thông tin nhân sự'!B:B,0))</f>
        <v>Chính thức</v>
      </c>
      <c r="M176" s="139"/>
      <c r="N176" s="427">
        <v>46204</v>
      </c>
      <c r="O176" s="163"/>
      <c r="P176" s="140" t="s">
        <v>298</v>
      </c>
      <c r="Q176" s="140"/>
      <c r="R176" s="140"/>
      <c r="S176" s="140"/>
      <c r="T176" s="140"/>
      <c r="U176" s="140"/>
      <c r="V176" s="140"/>
      <c r="W176" s="140"/>
      <c r="X176" s="192"/>
    </row>
    <row r="177" spans="1:24" s="431" customFormat="1" ht="35.25" customHeight="1">
      <c r="A177" s="139">
        <v>23</v>
      </c>
      <c r="B177" s="140" t="s">
        <v>496</v>
      </c>
      <c r="C177" s="140" t="s">
        <v>79</v>
      </c>
      <c r="D177" s="433"/>
      <c r="E177" s="140"/>
      <c r="F177" s="163" t="s">
        <v>492</v>
      </c>
      <c r="G177" s="139" t="s">
        <v>296</v>
      </c>
      <c r="H177" s="139">
        <v>1</v>
      </c>
      <c r="I177" s="163">
        <v>17001</v>
      </c>
      <c r="J177" s="140" t="str">
        <f>INDEX('6. data thông tin nhân sự'!C:C, MATCH('04. TH THEO LOẠI TS'!I177, '6. data thông tin nhân sự'!B:B,0))</f>
        <v>Nguyễn Thị Hồng</v>
      </c>
      <c r="K177" s="140" t="str">
        <f>INDEX('6. data thông tin nhân sự'!G:G, MATCH('04. TH THEO LOẠI TS'!I177, '6. data thông tin nhân sự'!B:B,0))</f>
        <v>Tài chính &amp; Kế toán  - Finance &amp; Accounting</v>
      </c>
      <c r="L177" s="163" t="str">
        <f>INDEX('6. data thông tin nhân sự'!D:D, MATCH('04. TH THEO LOẠI TS'!I177, '6. data thông tin nhân sự'!B:B,0))</f>
        <v>Chính thức</v>
      </c>
      <c r="M177" s="139"/>
      <c r="N177" s="427">
        <v>46204</v>
      </c>
      <c r="O177" s="163"/>
      <c r="P177" s="140" t="s">
        <v>298</v>
      </c>
      <c r="Q177" s="140"/>
      <c r="R177" s="140"/>
      <c r="S177" s="140"/>
      <c r="T177" s="140"/>
      <c r="U177" s="140"/>
      <c r="V177" s="140"/>
      <c r="W177" s="140"/>
      <c r="X177" s="192"/>
    </row>
    <row r="178" spans="1:24" s="431" customFormat="1" ht="35.25" customHeight="1">
      <c r="A178" s="139">
        <v>24</v>
      </c>
      <c r="B178" s="140" t="s">
        <v>530</v>
      </c>
      <c r="C178" s="140" t="s">
        <v>79</v>
      </c>
      <c r="D178" s="140"/>
      <c r="E178" s="140"/>
      <c r="F178" s="163" t="s">
        <v>492</v>
      </c>
      <c r="G178" s="139" t="s">
        <v>296</v>
      </c>
      <c r="H178" s="139">
        <v>1</v>
      </c>
      <c r="I178" s="163">
        <v>25041</v>
      </c>
      <c r="J178" s="140" t="str">
        <f>INDEX('6. data thông tin nhân sự'!C:C, MATCH('04. TH THEO LOẠI TS'!I178, '6. data thông tin nhân sự'!B:B,0))</f>
        <v>Bùi Hữu Đức</v>
      </c>
      <c r="K178" s="140" t="str">
        <f>INDEX('6. data thông tin nhân sự'!G:G, MATCH('04. TH THEO LOẠI TS'!I178, '6. data thông tin nhân sự'!B:B,0))</f>
        <v>Tài chính &amp; Kế toán  - Finance &amp; Accounting</v>
      </c>
      <c r="L178" s="163" t="str">
        <f>INDEX('6. data thông tin nhân sự'!D:D, MATCH('04. TH THEO LOẠI TS'!I178, '6. data thông tin nhân sự'!B:B,0))</f>
        <v>Chính thức</v>
      </c>
      <c r="M178" s="139"/>
      <c r="N178" s="427">
        <v>46202</v>
      </c>
      <c r="O178" s="163"/>
      <c r="P178" s="140" t="s">
        <v>298</v>
      </c>
      <c r="Q178" s="140"/>
      <c r="R178" s="140"/>
      <c r="S178" s="140"/>
      <c r="T178" s="140"/>
      <c r="U178" s="140"/>
      <c r="V178" s="140"/>
      <c r="W178" s="140"/>
      <c r="X178" s="192"/>
    </row>
    <row r="179" spans="1:24" s="431" customFormat="1" ht="52.5" customHeight="1">
      <c r="A179" s="139">
        <v>25</v>
      </c>
      <c r="B179" s="140" t="s">
        <v>220</v>
      </c>
      <c r="C179" s="140" t="s">
        <v>79</v>
      </c>
      <c r="D179" s="140"/>
      <c r="E179" s="140"/>
      <c r="F179" s="163" t="s">
        <v>534</v>
      </c>
      <c r="G179" s="139" t="s">
        <v>296</v>
      </c>
      <c r="H179" s="139">
        <v>1</v>
      </c>
      <c r="I179" s="163">
        <v>25021</v>
      </c>
      <c r="J179" s="140" t="str">
        <f>INDEX('6. data thông tin nhân sự'!C:C, MATCH('04. TH THEO LOẠI TS'!I179, '6. data thông tin nhân sự'!B:B,0))</f>
        <v>Ngô Thị Hồng Hải</v>
      </c>
      <c r="K179" s="140" t="str">
        <f>INDEX('6. data thông tin nhân sự'!G:G, MATCH('04. TH THEO LOẠI TS'!I179, '6. data thông tin nhân sự'!B:B,0))</f>
        <v>Hành chính nhân sự - HR &amp; Admin</v>
      </c>
      <c r="L179" s="163" t="str">
        <f>INDEX('6. data thông tin nhân sự'!D:D, MATCH('04. TH THEO LOẠI TS'!I179, '6. data thông tin nhân sự'!B:B,0))</f>
        <v>Chính thức</v>
      </c>
      <c r="M179" s="139"/>
      <c r="N179" s="427">
        <v>46204</v>
      </c>
      <c r="O179" s="163"/>
      <c r="P179" s="140" t="s">
        <v>298</v>
      </c>
      <c r="Q179" s="140"/>
      <c r="R179" s="140"/>
      <c r="S179" s="428"/>
      <c r="T179" s="428"/>
      <c r="U179" s="140"/>
      <c r="V179" s="140"/>
      <c r="W179" s="140"/>
      <c r="X179" s="192"/>
    </row>
    <row r="180" spans="1:24" s="431" customFormat="1" ht="51" customHeight="1">
      <c r="A180" s="139">
        <v>26</v>
      </c>
      <c r="B180" s="140" t="s">
        <v>566</v>
      </c>
      <c r="C180" s="140" t="s">
        <v>79</v>
      </c>
      <c r="D180" s="140"/>
      <c r="E180" s="140"/>
      <c r="F180" s="140" t="s">
        <v>534</v>
      </c>
      <c r="G180" s="139" t="s">
        <v>296</v>
      </c>
      <c r="H180" s="139">
        <v>1</v>
      </c>
      <c r="I180" s="163">
        <v>26016</v>
      </c>
      <c r="J180" s="140" t="str">
        <f>INDEX('6. data thông tin nhân sự'!C:C, MATCH('04. TH THEO LOẠI TS'!I180, '6. data thông tin nhân sự'!B:B,0))</f>
        <v>Nguyễn Ngọc Huyền</v>
      </c>
      <c r="K180" s="140" t="str">
        <f>INDEX('6. data thông tin nhân sự'!G:G, MATCH('04. TH THEO LOẠI TS'!I180, '6. data thông tin nhân sự'!B:B,0))</f>
        <v>Hành chính nhân sự - HR &amp; Admin</v>
      </c>
      <c r="L180" s="163" t="str">
        <f>INDEX('6. data thông tin nhân sự'!D:D, MATCH('04. TH THEO LOẠI TS'!I180, '6. data thông tin nhân sự'!B:B,0))</f>
        <v xml:space="preserve">Nghỉ việc </v>
      </c>
      <c r="M180" s="139"/>
      <c r="N180" s="427">
        <v>46204</v>
      </c>
      <c r="O180" s="140"/>
      <c r="P180" s="140" t="s">
        <v>298</v>
      </c>
      <c r="Q180" s="140"/>
      <c r="R180" s="140"/>
      <c r="S180" s="164" t="s">
        <v>568</v>
      </c>
      <c r="T180" s="140" t="s">
        <v>552</v>
      </c>
      <c r="U180" s="140"/>
      <c r="V180" s="140"/>
      <c r="W180" s="140"/>
      <c r="X180" s="192"/>
    </row>
    <row r="181" spans="1:24" s="431" customFormat="1" ht="41.25" customHeight="1">
      <c r="A181" s="139">
        <v>27</v>
      </c>
      <c r="B181" s="140" t="s">
        <v>123</v>
      </c>
      <c r="C181" s="140" t="s">
        <v>79</v>
      </c>
      <c r="D181" s="140"/>
      <c r="E181" s="140"/>
      <c r="F181" s="140" t="s">
        <v>556</v>
      </c>
      <c r="G181" s="139" t="s">
        <v>296</v>
      </c>
      <c r="H181" s="139">
        <v>1</v>
      </c>
      <c r="I181" s="163">
        <v>25043</v>
      </c>
      <c r="J181" s="140" t="str">
        <f>INDEX('6. data thông tin nhân sự'!C:C, MATCH('04. TH THEO LOẠI TS'!I181, '6. data thông tin nhân sự'!B:B,0))</f>
        <v>Đỗ Mỹ Linh</v>
      </c>
      <c r="K181" s="140" t="str">
        <f>INDEX('6. data thông tin nhân sự'!G:G, MATCH('04. TH THEO LOẠI TS'!I181, '6. data thông tin nhân sự'!B:B,0))</f>
        <v>Dự án - Project</v>
      </c>
      <c r="L181" s="163" t="str">
        <f>INDEX('6. data thông tin nhân sự'!D:D, MATCH('04. TH THEO LOẠI TS'!I181, '6. data thông tin nhân sự'!B:B,0))</f>
        <v>Chính thức</v>
      </c>
      <c r="M181" s="163"/>
      <c r="N181" s="427">
        <v>46204</v>
      </c>
      <c r="O181" s="450"/>
      <c r="P181" s="140" t="s">
        <v>298</v>
      </c>
      <c r="Q181" s="140"/>
      <c r="R181" s="140"/>
      <c r="S181" s="164" t="s">
        <v>558</v>
      </c>
      <c r="T181" s="230"/>
      <c r="U181" s="140"/>
      <c r="V181" s="140"/>
      <c r="W181" s="140"/>
      <c r="X181" s="192"/>
    </row>
    <row r="182" spans="1:24" s="431" customFormat="1" ht="35.25" customHeight="1">
      <c r="A182" s="139">
        <v>28</v>
      </c>
      <c r="B182" s="429" t="s">
        <v>563</v>
      </c>
      <c r="C182" s="429" t="s">
        <v>79</v>
      </c>
      <c r="D182" s="429"/>
      <c r="E182" s="429"/>
      <c r="F182" s="163" t="s">
        <v>526</v>
      </c>
      <c r="G182" s="436" t="s">
        <v>296</v>
      </c>
      <c r="H182" s="436">
        <v>1</v>
      </c>
      <c r="I182" s="429"/>
      <c r="J182" s="429"/>
      <c r="K182" s="429"/>
      <c r="L182" s="429"/>
      <c r="M182" s="429"/>
      <c r="N182" s="499"/>
      <c r="O182" s="429"/>
      <c r="P182" s="156" t="s">
        <v>564</v>
      </c>
      <c r="Q182" s="429"/>
      <c r="R182" s="429"/>
      <c r="S182" s="429" t="s">
        <v>536</v>
      </c>
      <c r="T182" s="163" t="s">
        <v>565</v>
      </c>
      <c r="U182" s="429"/>
      <c r="V182" s="429"/>
      <c r="W182" s="429"/>
      <c r="X182" s="192"/>
    </row>
    <row r="183" spans="1:24" s="431" customFormat="1" ht="35.25" customHeight="1">
      <c r="A183" s="139">
        <v>29</v>
      </c>
      <c r="B183" s="140" t="s">
        <v>197</v>
      </c>
      <c r="C183" s="140" t="s">
        <v>79</v>
      </c>
      <c r="D183" s="140"/>
      <c r="E183" s="140"/>
      <c r="F183" s="140" t="s">
        <v>526</v>
      </c>
      <c r="G183" s="139" t="s">
        <v>296</v>
      </c>
      <c r="H183" s="139">
        <v>1</v>
      </c>
      <c r="I183" s="163">
        <v>26028</v>
      </c>
      <c r="J183" s="140" t="str">
        <f>INDEX('6. data thông tin nhân sự'!C:C, MATCH('04. TH THEO LOẠI TS'!I183, '6. data thông tin nhân sự'!B:B,0))</f>
        <v>Hoàng Thị Thu Trang</v>
      </c>
      <c r="K183" s="140" t="str">
        <f>INDEX('6. data thông tin nhân sự'!G:G, MATCH('04. TH THEO LOẠI TS'!I183, '6. data thông tin nhân sự'!B:B,0))</f>
        <v>Hành chính nhân sự - HR &amp; Admin</v>
      </c>
      <c r="L183" s="163" t="str">
        <f>INDEX('6. data thông tin nhân sự'!D:D, MATCH('04. TH THEO LOẠI TS'!I183, '6. data thông tin nhân sự'!B:B,0))</f>
        <v>Thử việc</v>
      </c>
      <c r="M183" s="163"/>
      <c r="N183" s="231"/>
      <c r="O183" s="163"/>
      <c r="P183" s="156" t="s">
        <v>564</v>
      </c>
      <c r="Q183" s="140"/>
      <c r="R183" s="140" t="s">
        <v>553</v>
      </c>
      <c r="S183" s="164"/>
      <c r="T183" s="140"/>
      <c r="U183" s="140"/>
      <c r="V183" s="140"/>
      <c r="W183" s="140"/>
      <c r="X183" s="192"/>
    </row>
    <row r="184" spans="1:24" s="431" customFormat="1" ht="35.25" customHeight="1">
      <c r="A184" s="139">
        <v>30</v>
      </c>
      <c r="B184" s="516" t="s">
        <v>202</v>
      </c>
      <c r="C184" s="517" t="s">
        <v>79</v>
      </c>
      <c r="D184" s="163"/>
      <c r="E184" s="163"/>
      <c r="F184" s="163" t="s">
        <v>526</v>
      </c>
      <c r="G184" s="139" t="s">
        <v>296</v>
      </c>
      <c r="H184" s="139">
        <v>1</v>
      </c>
      <c r="I184" s="163"/>
      <c r="J184" s="163"/>
      <c r="K184" s="163"/>
      <c r="L184" s="163"/>
      <c r="M184" s="163"/>
      <c r="N184" s="231"/>
      <c r="O184" s="163"/>
      <c r="P184" s="156" t="s">
        <v>564</v>
      </c>
      <c r="Q184" s="163"/>
      <c r="R184" s="163" t="s">
        <v>553</v>
      </c>
      <c r="S184" s="163"/>
      <c r="T184" s="163"/>
      <c r="U184" s="163"/>
      <c r="V184" s="163"/>
      <c r="W184" s="163"/>
    </row>
    <row r="185" spans="1:24" s="431" customFormat="1" ht="35.25" customHeight="1">
      <c r="A185" s="139">
        <v>31</v>
      </c>
      <c r="B185" s="516" t="s">
        <v>206</v>
      </c>
      <c r="C185" s="517" t="s">
        <v>79</v>
      </c>
      <c r="D185" s="163"/>
      <c r="E185" s="163"/>
      <c r="F185" s="163" t="s">
        <v>526</v>
      </c>
      <c r="G185" s="139" t="s">
        <v>296</v>
      </c>
      <c r="H185" s="139">
        <v>1</v>
      </c>
      <c r="I185" s="163"/>
      <c r="J185" s="163"/>
      <c r="K185" s="163"/>
      <c r="L185" s="163"/>
      <c r="M185" s="163"/>
      <c r="N185" s="231"/>
      <c r="O185" s="163"/>
      <c r="P185" s="444" t="s">
        <v>564</v>
      </c>
      <c r="Q185" s="163"/>
      <c r="R185" s="163" t="s">
        <v>553</v>
      </c>
      <c r="S185" s="163"/>
      <c r="T185" s="163"/>
      <c r="U185" s="163"/>
      <c r="V185" s="163"/>
      <c r="W185" s="163"/>
    </row>
    <row r="186" spans="1:24" s="431" customFormat="1" ht="35.25" customHeight="1">
      <c r="A186" s="139">
        <v>32</v>
      </c>
      <c r="B186" s="516" t="s">
        <v>210</v>
      </c>
      <c r="C186" s="517" t="s">
        <v>79</v>
      </c>
      <c r="D186" s="163"/>
      <c r="E186" s="163"/>
      <c r="F186" s="163" t="s">
        <v>526</v>
      </c>
      <c r="G186" s="139" t="s">
        <v>296</v>
      </c>
      <c r="H186" s="139">
        <v>1</v>
      </c>
      <c r="I186" s="163"/>
      <c r="J186" s="163"/>
      <c r="K186" s="163"/>
      <c r="L186" s="163"/>
      <c r="M186" s="163"/>
      <c r="N186" s="231"/>
      <c r="O186" s="163"/>
      <c r="P186" s="444" t="s">
        <v>564</v>
      </c>
      <c r="Q186" s="163"/>
      <c r="R186" s="163" t="s">
        <v>553</v>
      </c>
      <c r="S186" s="163"/>
      <c r="T186" s="163"/>
      <c r="U186" s="163"/>
      <c r="V186" s="163"/>
      <c r="W186" s="163"/>
    </row>
    <row r="187" spans="1:24" s="431" customFormat="1" ht="35.25" customHeight="1">
      <c r="A187" s="139">
        <v>33</v>
      </c>
      <c r="B187" s="516" t="s">
        <v>213</v>
      </c>
      <c r="C187" s="517" t="s">
        <v>79</v>
      </c>
      <c r="D187" s="163"/>
      <c r="E187" s="163"/>
      <c r="F187" s="163" t="s">
        <v>526</v>
      </c>
      <c r="G187" s="139" t="s">
        <v>296</v>
      </c>
      <c r="H187" s="139">
        <v>1</v>
      </c>
      <c r="I187" s="163"/>
      <c r="J187" s="163"/>
      <c r="K187" s="163"/>
      <c r="L187" s="163"/>
      <c r="M187" s="163"/>
      <c r="N187" s="231"/>
      <c r="O187" s="163"/>
      <c r="P187" s="444" t="s">
        <v>564</v>
      </c>
      <c r="Q187" s="163"/>
      <c r="R187" s="163" t="s">
        <v>553</v>
      </c>
      <c r="S187" s="163"/>
      <c r="T187" s="163"/>
      <c r="U187" s="163"/>
      <c r="V187" s="163"/>
      <c r="W187" s="163"/>
    </row>
    <row r="188" spans="1:24" s="431" customFormat="1" ht="35.25" customHeight="1">
      <c r="A188" s="139">
        <v>34</v>
      </c>
      <c r="B188" s="516" t="s">
        <v>217</v>
      </c>
      <c r="C188" s="518" t="s">
        <v>79</v>
      </c>
      <c r="D188" s="518"/>
      <c r="E188" s="518"/>
      <c r="F188" s="163" t="s">
        <v>526</v>
      </c>
      <c r="G188" s="139" t="s">
        <v>296</v>
      </c>
      <c r="H188" s="139">
        <v>1</v>
      </c>
      <c r="I188" s="518"/>
      <c r="J188" s="518"/>
      <c r="K188" s="518"/>
      <c r="L188" s="518"/>
      <c r="M188" s="518"/>
      <c r="N188" s="519"/>
      <c r="O188" s="518"/>
      <c r="P188" s="156" t="s">
        <v>564</v>
      </c>
      <c r="Q188" s="518"/>
      <c r="R188" s="163" t="s">
        <v>553</v>
      </c>
      <c r="S188" s="518"/>
      <c r="T188" s="518"/>
      <c r="U188" s="518"/>
      <c r="V188" s="518"/>
      <c r="W188" s="518"/>
    </row>
    <row r="189" spans="1:24" s="431" customFormat="1" ht="35.25" customHeight="1">
      <c r="A189" s="139">
        <v>35</v>
      </c>
      <c r="B189" s="163" t="s">
        <v>220</v>
      </c>
      <c r="C189" s="518" t="s">
        <v>79</v>
      </c>
      <c r="D189" s="163"/>
      <c r="E189" s="163"/>
      <c r="F189" s="163" t="s">
        <v>526</v>
      </c>
      <c r="G189" s="139" t="s">
        <v>296</v>
      </c>
      <c r="H189" s="139">
        <v>1</v>
      </c>
      <c r="I189" s="163"/>
      <c r="J189" s="163"/>
      <c r="K189" s="163"/>
      <c r="L189" s="163"/>
      <c r="M189" s="163"/>
      <c r="N189" s="231"/>
      <c r="O189" s="163"/>
      <c r="P189" s="156" t="s">
        <v>564</v>
      </c>
      <c r="Q189" s="163"/>
      <c r="R189" s="163" t="s">
        <v>553</v>
      </c>
      <c r="S189" s="163"/>
      <c r="T189" s="163"/>
      <c r="U189" s="163"/>
      <c r="V189" s="163"/>
      <c r="W189" s="163"/>
    </row>
    <row r="190" spans="1:24" s="431" customFormat="1" ht="35.25" customHeight="1">
      <c r="A190" s="139">
        <v>36</v>
      </c>
      <c r="B190" s="516" t="s">
        <v>223</v>
      </c>
      <c r="C190" s="517" t="s">
        <v>79</v>
      </c>
      <c r="D190" s="163"/>
      <c r="E190" s="163"/>
      <c r="F190" s="163" t="s">
        <v>526</v>
      </c>
      <c r="G190" s="139" t="s">
        <v>296</v>
      </c>
      <c r="H190" s="139">
        <v>1</v>
      </c>
      <c r="I190" s="163"/>
      <c r="J190" s="163"/>
      <c r="K190" s="163"/>
      <c r="L190" s="163"/>
      <c r="M190" s="163"/>
      <c r="N190" s="231"/>
      <c r="O190" s="163"/>
      <c r="P190" s="156" t="s">
        <v>564</v>
      </c>
      <c r="Q190" s="163"/>
      <c r="R190" s="163" t="s">
        <v>553</v>
      </c>
      <c r="S190" s="163"/>
      <c r="T190" s="163"/>
      <c r="U190" s="163"/>
      <c r="V190" s="163"/>
      <c r="W190" s="163"/>
    </row>
    <row r="191" spans="1:24" s="251" customFormat="1" ht="35.25" hidden="1" customHeight="1">
      <c r="A191" s="555"/>
      <c r="B191" s="555" t="s">
        <v>653</v>
      </c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</row>
    <row r="192" spans="1:24" s="431" customFormat="1" ht="35.25" hidden="1" customHeight="1">
      <c r="A192" s="139">
        <v>1</v>
      </c>
      <c r="B192" s="163" t="s">
        <v>654</v>
      </c>
      <c r="C192" s="163" t="s">
        <v>61</v>
      </c>
      <c r="D192" s="163"/>
      <c r="E192" s="163"/>
      <c r="F192" s="163" t="s">
        <v>295</v>
      </c>
      <c r="G192" s="139" t="s">
        <v>296</v>
      </c>
      <c r="H192" s="139">
        <v>1</v>
      </c>
      <c r="I192" s="163"/>
      <c r="J192" s="140"/>
      <c r="K192" s="163" t="s">
        <v>629</v>
      </c>
      <c r="L192" s="163"/>
      <c r="M192" s="139"/>
      <c r="N192" s="427">
        <v>46204</v>
      </c>
      <c r="O192" s="163"/>
      <c r="P192" s="140" t="s">
        <v>298</v>
      </c>
      <c r="Q192" s="163"/>
      <c r="R192" s="163"/>
      <c r="S192" s="163"/>
      <c r="T192" s="165" t="s">
        <v>655</v>
      </c>
      <c r="U192" s="163"/>
      <c r="V192" s="163"/>
      <c r="W192" s="163"/>
      <c r="X192" s="192"/>
    </row>
    <row r="193" spans="1:24" s="431" customFormat="1" ht="35.25" hidden="1" customHeight="1">
      <c r="A193" s="139">
        <v>2</v>
      </c>
      <c r="B193" s="163" t="s">
        <v>139</v>
      </c>
      <c r="C193" s="163" t="s">
        <v>140</v>
      </c>
      <c r="D193" s="163" t="s">
        <v>142</v>
      </c>
      <c r="E193" s="163"/>
      <c r="F193" s="163" t="s">
        <v>295</v>
      </c>
      <c r="G193" s="139" t="s">
        <v>141</v>
      </c>
      <c r="H193" s="139">
        <v>1</v>
      </c>
      <c r="I193" s="163"/>
      <c r="J193" s="140"/>
      <c r="K193" s="163" t="s">
        <v>629</v>
      </c>
      <c r="L193" s="163"/>
      <c r="M193" s="139"/>
      <c r="N193" s="427">
        <v>46204</v>
      </c>
      <c r="O193" s="163"/>
      <c r="P193" s="535" t="s">
        <v>564</v>
      </c>
      <c r="Q193" s="163"/>
      <c r="R193" s="163" t="s">
        <v>598</v>
      </c>
      <c r="S193" s="163"/>
      <c r="T193" s="163"/>
      <c r="U193" s="163"/>
      <c r="V193" s="163"/>
      <c r="W193" s="163"/>
      <c r="X193" s="192"/>
    </row>
    <row r="194" spans="1:24" s="431" customFormat="1" ht="35.25" hidden="1" customHeight="1">
      <c r="A194" s="139">
        <v>3</v>
      </c>
      <c r="B194" s="163" t="s">
        <v>656</v>
      </c>
      <c r="C194" s="163" t="s">
        <v>326</v>
      </c>
      <c r="D194" s="163"/>
      <c r="E194" s="163"/>
      <c r="F194" s="163" t="s">
        <v>295</v>
      </c>
      <c r="G194" s="139" t="s">
        <v>296</v>
      </c>
      <c r="H194" s="139">
        <v>1</v>
      </c>
      <c r="I194" s="163">
        <v>25032</v>
      </c>
      <c r="J194" s="140" t="s">
        <v>133</v>
      </c>
      <c r="K194" s="163" t="s">
        <v>629</v>
      </c>
      <c r="L194" s="163" t="str">
        <f>INDEX('6. data thông tin nhân sự'!D:D, MATCH('04. TH THEO LOẠI TS'!I194, '6. data thông tin nhân sự'!B:B,0))</f>
        <v>Chính thức</v>
      </c>
      <c r="M194" s="139"/>
      <c r="N194" s="427">
        <v>46204</v>
      </c>
      <c r="O194" s="163"/>
      <c r="P194" s="140" t="s">
        <v>298</v>
      </c>
      <c r="Q194" s="163"/>
      <c r="R194" s="164" t="s">
        <v>327</v>
      </c>
      <c r="S194" s="163"/>
      <c r="T194" s="163"/>
      <c r="U194" s="163"/>
      <c r="V194" s="163"/>
      <c r="W194" s="163"/>
      <c r="X194" s="192"/>
    </row>
    <row r="195" spans="1:24" s="431" customFormat="1" ht="35.25" hidden="1" customHeight="1">
      <c r="A195" s="139">
        <v>4</v>
      </c>
      <c r="B195" s="140" t="s">
        <v>174</v>
      </c>
      <c r="C195" s="163" t="s">
        <v>404</v>
      </c>
      <c r="D195" s="163"/>
      <c r="E195" s="140"/>
      <c r="F195" s="163" t="s">
        <v>373</v>
      </c>
      <c r="G195" s="139" t="s">
        <v>296</v>
      </c>
      <c r="H195" s="139">
        <v>1</v>
      </c>
      <c r="I195" s="163">
        <v>25042</v>
      </c>
      <c r="J195" s="163" t="s">
        <v>657</v>
      </c>
      <c r="K195" s="163" t="s">
        <v>633</v>
      </c>
      <c r="L195" s="163" t="str">
        <f>INDEX('6. data thông tin nhân sự'!D:D, MATCH('04. TH THEO LOẠI TS'!I195, '6. data thông tin nhân sự'!B:B,0))</f>
        <v>Chính thức</v>
      </c>
      <c r="M195" s="140"/>
      <c r="N195" s="427">
        <v>46204</v>
      </c>
      <c r="O195" s="163"/>
      <c r="P195" s="140" t="s">
        <v>298</v>
      </c>
      <c r="Q195" s="163"/>
      <c r="R195" s="163"/>
      <c r="S195" s="163"/>
      <c r="T195" s="163"/>
      <c r="U195" s="163"/>
      <c r="V195" s="163"/>
      <c r="W195" s="163"/>
      <c r="X195" s="192"/>
    </row>
    <row r="196" spans="1:24" s="431" customFormat="1" ht="74.25" hidden="1" customHeight="1">
      <c r="A196" s="139">
        <v>5</v>
      </c>
      <c r="B196" s="429" t="s">
        <v>658</v>
      </c>
      <c r="C196" s="429" t="s">
        <v>81</v>
      </c>
      <c r="D196" s="429" t="s">
        <v>659</v>
      </c>
      <c r="E196" s="429" t="s">
        <v>325</v>
      </c>
      <c r="F196" s="429" t="s">
        <v>295</v>
      </c>
      <c r="G196" s="150" t="s">
        <v>346</v>
      </c>
      <c r="H196" s="150">
        <v>1</v>
      </c>
      <c r="I196" s="151">
        <v>25032</v>
      </c>
      <c r="J196" s="151" t="s">
        <v>133</v>
      </c>
      <c r="K196" s="151" t="s">
        <v>629</v>
      </c>
      <c r="L196" s="163" t="str">
        <f>INDEX('6. data thông tin nhân sự'!D:D, MATCH('04. TH THEO LOẠI TS'!I196, '6. data thông tin nhân sự'!B:B,0))</f>
        <v>Chính thức</v>
      </c>
      <c r="M196" s="257"/>
      <c r="N196" s="427">
        <v>46204</v>
      </c>
      <c r="O196" s="149"/>
      <c r="P196" s="152" t="s">
        <v>298</v>
      </c>
      <c r="Q196" s="257"/>
      <c r="R196" s="429" t="s">
        <v>324</v>
      </c>
      <c r="S196" s="257"/>
      <c r="T196" s="257"/>
      <c r="U196" s="257"/>
      <c r="V196" s="257"/>
      <c r="W196" s="257"/>
      <c r="X196" s="192"/>
    </row>
    <row r="197" spans="1:24" s="431" customFormat="1" ht="35.25" customHeight="1">
      <c r="A197" s="257"/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500"/>
      <c r="O197" s="257"/>
      <c r="P197" s="503"/>
      <c r="Q197" s="257"/>
      <c r="R197" s="257"/>
      <c r="S197" s="257"/>
      <c r="T197" s="257"/>
      <c r="U197" s="257"/>
      <c r="V197" s="257"/>
      <c r="W197" s="257"/>
      <c r="X197" s="192"/>
    </row>
    <row r="198" spans="1:24" s="431" customFormat="1" ht="35.25" customHeight="1">
      <c r="A198" s="257"/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500"/>
      <c r="O198" s="257"/>
      <c r="P198" s="503"/>
      <c r="Q198" s="257"/>
      <c r="R198" s="257"/>
      <c r="S198" s="257"/>
      <c r="T198" s="257"/>
      <c r="U198" s="257"/>
      <c r="V198" s="257"/>
      <c r="W198" s="257"/>
      <c r="X198" s="192"/>
    </row>
    <row r="199" spans="1:24" s="431" customFormat="1" ht="35.25" customHeight="1">
      <c r="A199" s="257"/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500"/>
      <c r="O199" s="257"/>
      <c r="P199" s="503"/>
      <c r="Q199" s="257"/>
      <c r="R199" s="257"/>
      <c r="S199" s="257"/>
      <c r="T199" s="257"/>
      <c r="U199" s="257"/>
      <c r="V199" s="257"/>
      <c r="W199" s="257"/>
      <c r="X199" s="192"/>
    </row>
    <row r="200" spans="1:24" s="431" customFormat="1" ht="35.25" customHeight="1">
      <c r="A200" s="257"/>
      <c r="B200" s="257"/>
      <c r="C200" s="257"/>
      <c r="D200" s="257"/>
      <c r="E200" s="257"/>
      <c r="F200" s="257"/>
      <c r="G200" s="257"/>
      <c r="H200" s="257"/>
      <c r="I200" s="257"/>
      <c r="J200" s="257"/>
      <c r="K200" s="257"/>
      <c r="L200" s="257"/>
      <c r="M200" s="257"/>
      <c r="N200" s="500"/>
      <c r="O200" s="257"/>
      <c r="P200" s="503"/>
      <c r="Q200" s="257"/>
      <c r="R200" s="257"/>
      <c r="S200" s="257"/>
      <c r="T200" s="257"/>
      <c r="U200" s="257"/>
      <c r="V200" s="257"/>
      <c r="W200" s="257"/>
      <c r="X200" s="192"/>
    </row>
    <row r="201" spans="1:24" s="431" customFormat="1" ht="35.25" customHeight="1">
      <c r="A201" s="257"/>
      <c r="B201" s="257"/>
      <c r="C201" s="257"/>
      <c r="D201" s="257"/>
      <c r="E201" s="257"/>
      <c r="F201" s="257"/>
      <c r="G201" s="257"/>
      <c r="H201" s="257"/>
      <c r="I201" s="257"/>
      <c r="J201" s="257"/>
      <c r="K201" s="257"/>
      <c r="L201" s="257"/>
      <c r="M201" s="257"/>
      <c r="N201" s="500"/>
      <c r="O201" s="257"/>
      <c r="P201" s="503"/>
      <c r="Q201" s="257"/>
      <c r="R201" s="257"/>
      <c r="S201" s="257"/>
      <c r="T201" s="257"/>
      <c r="U201" s="257"/>
      <c r="V201" s="257"/>
      <c r="W201" s="257"/>
      <c r="X201" s="192"/>
    </row>
    <row r="202" spans="1:24" s="431" customFormat="1" ht="35.25" customHeight="1">
      <c r="A202" s="257"/>
      <c r="B202" s="257"/>
      <c r="C202" s="257"/>
      <c r="D202" s="257"/>
      <c r="E202" s="257"/>
      <c r="F202" s="257"/>
      <c r="G202" s="257"/>
      <c r="H202" s="257"/>
      <c r="I202" s="257"/>
      <c r="J202" s="257"/>
      <c r="K202" s="257"/>
      <c r="L202" s="257"/>
      <c r="M202" s="257"/>
      <c r="N202" s="500"/>
      <c r="O202" s="257"/>
      <c r="P202" s="503"/>
      <c r="Q202" s="257"/>
      <c r="R202" s="257"/>
      <c r="S202" s="257"/>
      <c r="T202" s="257"/>
      <c r="U202" s="257"/>
      <c r="V202" s="257"/>
      <c r="W202" s="257"/>
      <c r="X202" s="192"/>
    </row>
    <row r="203" spans="1:24" s="431" customFormat="1" ht="35.25" customHeight="1">
      <c r="A203" s="257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500"/>
      <c r="O203" s="257"/>
      <c r="P203" s="503"/>
      <c r="Q203" s="257"/>
      <c r="R203" s="257"/>
      <c r="S203" s="257"/>
      <c r="T203" s="257"/>
      <c r="U203" s="257"/>
      <c r="V203" s="257"/>
      <c r="W203" s="257"/>
      <c r="X203" s="192"/>
    </row>
    <row r="204" spans="1:24" s="431" customFormat="1" ht="35.25" customHeight="1">
      <c r="A204" s="257"/>
      <c r="B204" s="257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500"/>
      <c r="O204" s="257"/>
      <c r="P204" s="503"/>
      <c r="Q204" s="257"/>
      <c r="R204" s="257"/>
      <c r="S204" s="257"/>
      <c r="T204" s="257"/>
      <c r="U204" s="257"/>
      <c r="V204" s="257"/>
      <c r="W204" s="257"/>
      <c r="X204" s="192"/>
    </row>
    <row r="205" spans="1:24" s="431" customFormat="1" ht="35.25" customHeight="1">
      <c r="A205" s="257"/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500"/>
      <c r="O205" s="257"/>
      <c r="P205" s="503"/>
      <c r="Q205" s="257"/>
      <c r="R205" s="257"/>
      <c r="S205" s="257"/>
      <c r="T205" s="257"/>
      <c r="U205" s="257"/>
      <c r="V205" s="257"/>
      <c r="W205" s="257"/>
      <c r="X205" s="192"/>
    </row>
    <row r="206" spans="1:24" s="431" customFormat="1" ht="35.25" customHeight="1">
      <c r="A206" s="257"/>
      <c r="B206" s="257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500"/>
      <c r="O206" s="257"/>
      <c r="P206" s="503"/>
      <c r="Q206" s="257"/>
      <c r="R206" s="257"/>
      <c r="S206" s="257"/>
      <c r="T206" s="257"/>
      <c r="U206" s="257"/>
      <c r="V206" s="257"/>
      <c r="W206" s="257"/>
      <c r="X206" s="192"/>
    </row>
    <row r="207" spans="1:24" s="431" customFormat="1" ht="35.25" customHeight="1">
      <c r="A207" s="257"/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500"/>
      <c r="O207" s="257"/>
      <c r="P207" s="503"/>
      <c r="Q207" s="257"/>
      <c r="R207" s="257"/>
      <c r="S207" s="257"/>
      <c r="T207" s="257"/>
      <c r="U207" s="257"/>
      <c r="V207" s="257"/>
      <c r="W207" s="257"/>
      <c r="X207" s="192"/>
    </row>
    <row r="208" spans="1:24" s="431" customFormat="1" ht="35.25" customHeight="1">
      <c r="A208" s="257"/>
      <c r="B208" s="257"/>
      <c r="C208" s="257"/>
      <c r="D208" s="257"/>
      <c r="E208" s="257"/>
      <c r="F208" s="257"/>
      <c r="G208" s="257"/>
      <c r="H208" s="257"/>
      <c r="I208" s="257"/>
      <c r="J208" s="257"/>
      <c r="K208" s="257"/>
      <c r="L208" s="257"/>
      <c r="M208" s="257"/>
      <c r="N208" s="500"/>
      <c r="O208" s="257"/>
      <c r="P208" s="503"/>
      <c r="Q208" s="257"/>
      <c r="R208" s="257"/>
      <c r="S208" s="257"/>
      <c r="T208" s="257"/>
      <c r="U208" s="257"/>
      <c r="V208" s="257"/>
      <c r="W208" s="257"/>
      <c r="X208" s="192"/>
    </row>
    <row r="209" spans="7:14" s="431" customFormat="1" ht="14.25" customHeight="1">
      <c r="G209" s="432"/>
      <c r="H209" s="432"/>
      <c r="N209" s="501"/>
    </row>
    <row r="210" spans="7:14" s="431" customFormat="1" ht="14.25" customHeight="1">
      <c r="G210" s="432"/>
      <c r="H210" s="432"/>
      <c r="N210" s="501"/>
    </row>
    <row r="211" spans="7:14" s="431" customFormat="1" ht="14.25" customHeight="1">
      <c r="G211" s="432"/>
      <c r="H211" s="432"/>
      <c r="N211" s="501"/>
    </row>
    <row r="212" spans="7:14" s="431" customFormat="1" ht="14.25" customHeight="1">
      <c r="G212" s="432"/>
      <c r="H212" s="432"/>
      <c r="N212" s="501"/>
    </row>
    <row r="213" spans="7:14" s="431" customFormat="1" ht="14.25" customHeight="1">
      <c r="G213" s="432"/>
      <c r="H213" s="432"/>
      <c r="N213" s="501"/>
    </row>
    <row r="214" spans="7:14" s="431" customFormat="1" ht="14.25" customHeight="1">
      <c r="G214" s="432"/>
      <c r="H214" s="432"/>
      <c r="N214" s="501"/>
    </row>
    <row r="215" spans="7:14" s="431" customFormat="1" ht="14.25" customHeight="1">
      <c r="G215" s="432"/>
      <c r="H215" s="432"/>
      <c r="N215" s="501"/>
    </row>
    <row r="216" spans="7:14" s="431" customFormat="1" ht="14.25" customHeight="1">
      <c r="G216" s="432"/>
      <c r="H216" s="432"/>
      <c r="N216" s="501"/>
    </row>
    <row r="217" spans="7:14" s="431" customFormat="1" ht="14.25" customHeight="1">
      <c r="G217" s="432"/>
      <c r="H217" s="432"/>
      <c r="N217" s="501"/>
    </row>
    <row r="218" spans="7:14" s="431" customFormat="1" ht="14.25" customHeight="1">
      <c r="G218" s="432"/>
      <c r="H218" s="432"/>
      <c r="N218" s="501"/>
    </row>
    <row r="219" spans="7:14" s="431" customFormat="1" ht="14.25" customHeight="1">
      <c r="G219" s="432"/>
      <c r="H219" s="432"/>
      <c r="N219" s="501"/>
    </row>
    <row r="220" spans="7:14" s="431" customFormat="1" ht="14.25" customHeight="1">
      <c r="G220" s="432"/>
      <c r="H220" s="432"/>
      <c r="N220" s="501"/>
    </row>
    <row r="221" spans="7:14" s="431" customFormat="1" ht="14.25" customHeight="1">
      <c r="G221" s="432"/>
      <c r="H221" s="432"/>
      <c r="N221" s="501"/>
    </row>
    <row r="222" spans="7:14" s="431" customFormat="1" ht="14.25" customHeight="1">
      <c r="G222" s="432"/>
      <c r="H222" s="432"/>
      <c r="N222" s="501"/>
    </row>
    <row r="223" spans="7:14" s="431" customFormat="1" ht="14.25" customHeight="1">
      <c r="G223" s="432"/>
      <c r="H223" s="432"/>
      <c r="N223" s="501"/>
    </row>
    <row r="224" spans="7:14" s="431" customFormat="1" ht="14.25" customHeight="1">
      <c r="G224" s="432"/>
      <c r="H224" s="432"/>
      <c r="N224" s="501"/>
    </row>
    <row r="225" spans="7:14" s="431" customFormat="1" ht="14.25" customHeight="1">
      <c r="G225" s="432"/>
      <c r="H225" s="432"/>
      <c r="N225" s="501"/>
    </row>
    <row r="226" spans="7:14" s="431" customFormat="1" ht="14.25" customHeight="1">
      <c r="G226" s="432"/>
      <c r="H226" s="432"/>
      <c r="N226" s="501"/>
    </row>
    <row r="227" spans="7:14" s="431" customFormat="1" ht="14.25" customHeight="1">
      <c r="G227" s="432"/>
      <c r="H227" s="432"/>
      <c r="N227" s="501"/>
    </row>
    <row r="228" spans="7:14" s="431" customFormat="1" ht="14.25" customHeight="1">
      <c r="G228" s="432"/>
      <c r="H228" s="432"/>
      <c r="N228" s="501"/>
    </row>
    <row r="229" spans="7:14" s="431" customFormat="1" ht="14.25" customHeight="1">
      <c r="G229" s="432"/>
      <c r="H229" s="432"/>
      <c r="N229" s="501"/>
    </row>
    <row r="230" spans="7:14" s="431" customFormat="1" ht="14.25" customHeight="1">
      <c r="G230" s="432"/>
      <c r="H230" s="432"/>
      <c r="N230" s="501"/>
    </row>
    <row r="231" spans="7:14" s="431" customFormat="1" ht="14.25" customHeight="1">
      <c r="G231" s="432"/>
      <c r="H231" s="432"/>
      <c r="N231" s="501"/>
    </row>
    <row r="232" spans="7:14" s="431" customFormat="1" ht="14.25" customHeight="1">
      <c r="G232" s="432"/>
      <c r="H232" s="432"/>
      <c r="N232" s="501"/>
    </row>
    <row r="233" spans="7:14" s="431" customFormat="1" ht="14.25" customHeight="1">
      <c r="G233" s="432"/>
      <c r="H233" s="432"/>
      <c r="N233" s="501"/>
    </row>
    <row r="234" spans="7:14" s="431" customFormat="1" ht="14.25" customHeight="1">
      <c r="G234" s="432"/>
      <c r="H234" s="432"/>
      <c r="N234" s="501"/>
    </row>
    <row r="235" spans="7:14" s="431" customFormat="1" ht="14.25" customHeight="1">
      <c r="G235" s="432"/>
      <c r="H235" s="432"/>
      <c r="N235" s="501"/>
    </row>
    <row r="236" spans="7:14" s="431" customFormat="1" ht="14.25" customHeight="1">
      <c r="G236" s="432"/>
      <c r="H236" s="432"/>
      <c r="N236" s="501"/>
    </row>
    <row r="237" spans="7:14" s="431" customFormat="1" ht="14.25" customHeight="1">
      <c r="G237" s="432"/>
      <c r="H237" s="432"/>
      <c r="N237" s="501"/>
    </row>
    <row r="238" spans="7:14" s="431" customFormat="1" ht="14.25" customHeight="1">
      <c r="G238" s="432"/>
      <c r="H238" s="432"/>
      <c r="N238" s="501"/>
    </row>
    <row r="239" spans="7:14" s="431" customFormat="1" ht="14.25" customHeight="1">
      <c r="G239" s="432"/>
      <c r="H239" s="432"/>
      <c r="N239" s="501"/>
    </row>
    <row r="240" spans="7:14" s="431" customFormat="1" ht="14.25" customHeight="1">
      <c r="G240" s="432"/>
      <c r="H240" s="432"/>
      <c r="N240" s="501"/>
    </row>
    <row r="241" spans="7:14" s="431" customFormat="1" ht="14.25" customHeight="1">
      <c r="G241" s="432"/>
      <c r="H241" s="432"/>
      <c r="N241" s="501"/>
    </row>
    <row r="242" spans="7:14" s="431" customFormat="1" ht="14.25" customHeight="1">
      <c r="G242" s="432"/>
      <c r="H242" s="432"/>
      <c r="N242" s="501"/>
    </row>
    <row r="243" spans="7:14" s="431" customFormat="1" ht="14.25" customHeight="1">
      <c r="G243" s="432"/>
      <c r="H243" s="432"/>
      <c r="N243" s="501"/>
    </row>
    <row r="244" spans="7:14" s="431" customFormat="1" ht="14.25" customHeight="1">
      <c r="G244" s="432"/>
      <c r="H244" s="432"/>
      <c r="N244" s="501"/>
    </row>
    <row r="245" spans="7:14" s="431" customFormat="1" ht="14.25" customHeight="1">
      <c r="G245" s="432"/>
      <c r="H245" s="432"/>
      <c r="N245" s="501"/>
    </row>
    <row r="246" spans="7:14" s="431" customFormat="1" ht="14.25" customHeight="1">
      <c r="G246" s="432"/>
      <c r="H246" s="432"/>
      <c r="N246" s="501"/>
    </row>
    <row r="247" spans="7:14" s="431" customFormat="1" ht="14.25" customHeight="1">
      <c r="G247" s="432"/>
      <c r="H247" s="432"/>
      <c r="N247" s="501"/>
    </row>
    <row r="248" spans="7:14" s="431" customFormat="1" ht="14.25" customHeight="1">
      <c r="G248" s="432"/>
      <c r="H248" s="432"/>
      <c r="N248" s="501"/>
    </row>
    <row r="249" spans="7:14" s="431" customFormat="1" ht="14.25" customHeight="1">
      <c r="G249" s="432"/>
      <c r="H249" s="432"/>
      <c r="N249" s="501"/>
    </row>
    <row r="250" spans="7:14" s="431" customFormat="1" ht="14.25" customHeight="1">
      <c r="G250" s="432"/>
      <c r="H250" s="432"/>
      <c r="N250" s="501"/>
    </row>
    <row r="251" spans="7:14" s="431" customFormat="1" ht="14.25" customHeight="1">
      <c r="G251" s="432"/>
      <c r="H251" s="432"/>
      <c r="N251" s="501"/>
    </row>
    <row r="252" spans="7:14" s="431" customFormat="1" ht="14.25" customHeight="1">
      <c r="G252" s="432"/>
      <c r="H252" s="432"/>
      <c r="N252" s="501"/>
    </row>
    <row r="253" spans="7:14" s="431" customFormat="1" ht="14.25" customHeight="1">
      <c r="G253" s="432"/>
      <c r="H253" s="432"/>
      <c r="N253" s="501"/>
    </row>
    <row r="254" spans="7:14" s="431" customFormat="1" ht="14.25" customHeight="1">
      <c r="G254" s="432"/>
      <c r="H254" s="432"/>
      <c r="N254" s="501"/>
    </row>
    <row r="255" spans="7:14" s="431" customFormat="1" ht="14.25" customHeight="1">
      <c r="G255" s="432"/>
      <c r="H255" s="432"/>
      <c r="N255" s="501"/>
    </row>
    <row r="256" spans="7:14" s="431" customFormat="1" ht="14.25" customHeight="1">
      <c r="G256" s="432"/>
      <c r="H256" s="432"/>
      <c r="N256" s="501"/>
    </row>
    <row r="257" spans="7:14" s="431" customFormat="1" ht="14.25" customHeight="1">
      <c r="G257" s="432"/>
      <c r="H257" s="432"/>
      <c r="N257" s="501"/>
    </row>
    <row r="258" spans="7:14" s="431" customFormat="1" ht="14.25" customHeight="1">
      <c r="G258" s="432"/>
      <c r="H258" s="432"/>
      <c r="N258" s="501"/>
    </row>
    <row r="259" spans="7:14" s="431" customFormat="1" ht="14.25" customHeight="1">
      <c r="G259" s="432"/>
      <c r="H259" s="432"/>
      <c r="N259" s="501"/>
    </row>
    <row r="260" spans="7:14" s="431" customFormat="1" ht="14.25" customHeight="1">
      <c r="G260" s="432"/>
      <c r="H260" s="432"/>
      <c r="N260" s="501"/>
    </row>
    <row r="261" spans="7:14" s="431" customFormat="1" ht="14.25" customHeight="1">
      <c r="G261" s="432"/>
      <c r="H261" s="432"/>
      <c r="N261" s="501"/>
    </row>
    <row r="262" spans="7:14" s="431" customFormat="1" ht="14.25" customHeight="1">
      <c r="G262" s="432"/>
      <c r="H262" s="432"/>
      <c r="N262" s="501"/>
    </row>
    <row r="263" spans="7:14" s="431" customFormat="1" ht="14.25" customHeight="1">
      <c r="G263" s="432"/>
      <c r="H263" s="432"/>
      <c r="N263" s="501"/>
    </row>
    <row r="264" spans="7:14" s="431" customFormat="1" ht="14.25" customHeight="1">
      <c r="G264" s="432"/>
      <c r="H264" s="432"/>
      <c r="N264" s="501"/>
    </row>
    <row r="265" spans="7:14" s="431" customFormat="1" ht="14.25" customHeight="1">
      <c r="G265" s="432"/>
      <c r="H265" s="432"/>
      <c r="N265" s="501"/>
    </row>
    <row r="266" spans="7:14" s="431" customFormat="1" ht="14.25" customHeight="1">
      <c r="G266" s="432"/>
      <c r="H266" s="432"/>
      <c r="N266" s="501"/>
    </row>
    <row r="267" spans="7:14" s="431" customFormat="1" ht="14.25" customHeight="1">
      <c r="G267" s="432"/>
      <c r="H267" s="432"/>
      <c r="N267" s="501"/>
    </row>
    <row r="268" spans="7:14" s="431" customFormat="1" ht="14.25" customHeight="1">
      <c r="G268" s="432"/>
      <c r="H268" s="432"/>
      <c r="N268" s="501"/>
    </row>
    <row r="269" spans="7:14" s="431" customFormat="1" ht="14.25" customHeight="1">
      <c r="G269" s="432"/>
      <c r="H269" s="432"/>
      <c r="N269" s="501"/>
    </row>
    <row r="270" spans="7:14" s="431" customFormat="1" ht="14.25" customHeight="1">
      <c r="G270" s="432"/>
      <c r="H270" s="432"/>
      <c r="N270" s="501"/>
    </row>
    <row r="271" spans="7:14" s="431" customFormat="1" ht="14.25" customHeight="1">
      <c r="G271" s="432"/>
      <c r="H271" s="432"/>
      <c r="N271" s="501"/>
    </row>
    <row r="272" spans="7:14" s="431" customFormat="1" ht="14.25" customHeight="1">
      <c r="G272" s="432"/>
      <c r="H272" s="432"/>
      <c r="N272" s="501"/>
    </row>
    <row r="273" spans="7:14" s="431" customFormat="1" ht="14.25" customHeight="1">
      <c r="G273" s="432"/>
      <c r="H273" s="432"/>
      <c r="N273" s="501"/>
    </row>
    <row r="274" spans="7:14" s="431" customFormat="1" ht="14.25" customHeight="1">
      <c r="G274" s="432"/>
      <c r="H274" s="432"/>
      <c r="N274" s="501"/>
    </row>
    <row r="275" spans="7:14" s="431" customFormat="1" ht="14.25" customHeight="1">
      <c r="G275" s="432"/>
      <c r="H275" s="432"/>
      <c r="N275" s="501"/>
    </row>
    <row r="276" spans="7:14" s="431" customFormat="1" ht="14.25" customHeight="1">
      <c r="G276" s="432"/>
      <c r="H276" s="432"/>
      <c r="N276" s="501"/>
    </row>
    <row r="277" spans="7:14" s="431" customFormat="1" ht="14.25" customHeight="1">
      <c r="G277" s="432"/>
      <c r="H277" s="432"/>
      <c r="N277" s="501"/>
    </row>
    <row r="278" spans="7:14" s="431" customFormat="1" ht="14.25" customHeight="1">
      <c r="G278" s="432"/>
      <c r="H278" s="432"/>
      <c r="N278" s="501"/>
    </row>
    <row r="279" spans="7:14" s="431" customFormat="1" ht="14.25" customHeight="1">
      <c r="G279" s="432"/>
      <c r="H279" s="432"/>
      <c r="N279" s="501"/>
    </row>
    <row r="280" spans="7:14" s="431" customFormat="1" ht="14.25" customHeight="1">
      <c r="G280" s="432"/>
      <c r="H280" s="432"/>
      <c r="N280" s="501"/>
    </row>
    <row r="281" spans="7:14" s="431" customFormat="1" ht="14.25" customHeight="1">
      <c r="G281" s="432"/>
      <c r="H281" s="432"/>
      <c r="N281" s="501"/>
    </row>
    <row r="282" spans="7:14" s="431" customFormat="1" ht="14.25" customHeight="1">
      <c r="G282" s="432"/>
      <c r="H282" s="432"/>
      <c r="N282" s="501"/>
    </row>
    <row r="283" spans="7:14" s="431" customFormat="1" ht="14.25" customHeight="1">
      <c r="G283" s="432"/>
      <c r="H283" s="432"/>
      <c r="N283" s="501"/>
    </row>
    <row r="284" spans="7:14" s="431" customFormat="1" ht="14.25" customHeight="1">
      <c r="G284" s="432"/>
      <c r="H284" s="432"/>
      <c r="N284" s="501"/>
    </row>
    <row r="285" spans="7:14" s="431" customFormat="1" ht="14.25" customHeight="1">
      <c r="G285" s="432"/>
      <c r="H285" s="432"/>
      <c r="N285" s="501"/>
    </row>
    <row r="286" spans="7:14" s="431" customFormat="1" ht="14.25" customHeight="1">
      <c r="G286" s="432"/>
      <c r="H286" s="432"/>
      <c r="N286" s="501"/>
    </row>
    <row r="287" spans="7:14" s="431" customFormat="1" ht="14.25" customHeight="1">
      <c r="G287" s="432"/>
      <c r="H287" s="432"/>
      <c r="N287" s="501"/>
    </row>
    <row r="288" spans="7:14" s="431" customFormat="1" ht="14.25" customHeight="1">
      <c r="G288" s="432"/>
      <c r="H288" s="432"/>
      <c r="N288" s="501"/>
    </row>
    <row r="289" spans="7:14" s="431" customFormat="1" ht="14.25" customHeight="1">
      <c r="G289" s="432"/>
      <c r="H289" s="432"/>
      <c r="N289" s="501"/>
    </row>
    <row r="290" spans="7:14" s="431" customFormat="1" ht="14.25" customHeight="1">
      <c r="G290" s="432"/>
      <c r="H290" s="432"/>
      <c r="N290" s="501"/>
    </row>
    <row r="291" spans="7:14" s="431" customFormat="1" ht="14.25" customHeight="1">
      <c r="G291" s="432"/>
      <c r="H291" s="432"/>
      <c r="N291" s="501"/>
    </row>
    <row r="292" spans="7:14" s="431" customFormat="1" ht="14.25" customHeight="1">
      <c r="G292" s="432"/>
      <c r="H292" s="432"/>
      <c r="N292" s="501"/>
    </row>
    <row r="293" spans="7:14" s="431" customFormat="1" ht="14.25" customHeight="1">
      <c r="G293" s="432"/>
      <c r="H293" s="432"/>
      <c r="N293" s="501"/>
    </row>
  </sheetData>
  <autoFilter ref="B4:V196" xr:uid="{58D31C1A-7302-4820-BC52-CA751949CFA7}">
    <filterColumn colId="1">
      <filters>
        <filter val="Chuột"/>
      </filters>
    </filterColumn>
  </autoFilter>
  <mergeCells count="2">
    <mergeCell ref="Q116:Q120"/>
    <mergeCell ref="R116:R120"/>
  </mergeCells>
  <conditionalFormatting sqref="C1">
    <cfRule type="duplicateValues" dxfId="2" priority="4"/>
    <cfRule type="duplicateValues" dxfId="1" priority="5"/>
  </conditionalFormatting>
  <conditionalFormatting sqref="D1">
    <cfRule type="duplicateValues" dxfId="0" priority="6"/>
  </conditionalFormatting>
  <dataValidations count="1">
    <dataValidation allowBlank="1" showInputMessage="1" showErrorMessage="1" sqref="B143:B144 B146:B153 B63:B64 B184:B190 O2" xr:uid="{98ACD321-F856-4A49-89B4-957F9C11B36D}"/>
  </dataValidations>
  <hyperlinks>
    <hyperlink ref="Q31" r:id="rId1" display="LINK" xr:uid="{A8949B5D-8A6D-4786-B1B2-D00B9CFC709F}"/>
    <hyperlink ref="Q39" r:id="rId2" xr:uid="{76D738E5-9983-4B55-9464-75F33D729FA0}"/>
    <hyperlink ref="Q52" r:id="rId3" xr:uid="{F921DBA3-4DAC-4271-B4D8-22BF782471BA}"/>
    <hyperlink ref="Q68:Q69" r:id="rId4" display="Phiếu BH" xr:uid="{8FB04169-5012-4530-8551-101B76CBAE38}"/>
    <hyperlink ref="Q70:Q71" r:id="rId5" display="Phiếu BH" xr:uid="{8D2EBFE5-187B-4F77-86B0-FFB2EEB3A596}"/>
    <hyperlink ref="Q76:Q77" r:id="rId6" display="LINK" xr:uid="{EE6B2A35-2CD4-4DB1-90E2-C4184874D067}"/>
    <hyperlink ref="Q87" r:id="rId7" display="Phiếu BH" xr:uid="{FDBF0E01-E73A-4339-88B1-B97676FF788C}"/>
    <hyperlink ref="Q126" r:id="rId8" display="LINK" xr:uid="{86E350E7-FF4D-4C2A-8598-29F96E70645B}"/>
  </hyperlinks>
  <pageMargins left="0.7" right="0.7" top="0.75" bottom="0.75" header="0.3" footer="0.3"/>
  <pageSetup fitToHeight="0" orientation="portrait"/>
  <drawing r:id="rId9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FD3E91D-422F-42FC-8F50-CEB15CC8EE97}">
          <x14:formula1>
            <xm:f>'Code Data'!$B$3:$B$21</xm:f>
          </x14:formula1>
          <xm:sqref>F4 F209:F1048576 F192:F195 F155:F190 F14:F23 F122:F153 F25:F64 F6:F12 F66:F120</xm:sqref>
        </x14:dataValidation>
        <x14:dataValidation type="list" allowBlank="1" showInputMessage="1" showErrorMessage="1" xr:uid="{EEDDC9F4-100B-4F78-A9B8-49EF36F7989A}">
          <x14:formula1>
            <xm:f>'Code Data'!$G$3:$G$10</xm:f>
          </x14:formula1>
          <xm:sqref>P155:P190 P3:P4 P192:P196 P209:P1048576 P25:P64 P14:P23 P122:P153 P6:P12 P66:P120</xm:sqref>
        </x14:dataValidation>
        <x14:dataValidation type="list" allowBlank="1" showInputMessage="1" showErrorMessage="1" xr:uid="{110AD3D5-57C5-49D6-A01D-53BAD03D73E4}">
          <x14:formula1>
            <xm:f>'Code Data'!$F$3:$F$19</xm:f>
          </x14:formula1>
          <xm:sqref>C4 C155:C181 C209:C1048576 D195 C192:C195 C151:C153 C14:C23 C25:C64 C122:C142 C188:C190 C183 C144:C145 C6:C12 C66:C120 I2:N2</xm:sqref>
        </x14:dataValidation>
        <x14:dataValidation type="list" allowBlank="1" showInputMessage="1" showErrorMessage="1" xr:uid="{3DB9CD33-BD0D-4194-A33C-DEF7D08422B5}">
          <x14:formula1>
            <xm:f>'Code Data'!$Q$1:$Q$20</xm:f>
          </x14:formula1>
          <xm:sqref>M1</xm:sqref>
        </x14:dataValidation>
        <x14:dataValidation type="list" allowBlank="1" showInputMessage="1" showErrorMessage="1" xr:uid="{512088C6-B8E1-4A2A-8060-56163BA4FAB6}">
          <x14:formula1>
            <xm:f>'Code Data'!$N$2:$N$7</xm:f>
          </x14:formula1>
          <xm:sqref>P1</xm:sqref>
        </x14:dataValidation>
        <x14:dataValidation type="list" allowBlank="1" showInputMessage="1" showErrorMessage="1" xr:uid="{6B0B5D4E-ECF4-4974-9A83-FBEA9E471A7A}">
          <x14:formula1>
            <xm:f>'Code Data'!$J$3:$J$6</xm:f>
          </x14:formula1>
          <xm:sqref>C1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AC92-D7EF-46CB-81FF-002C2848F066}">
  <dimension ref="A1:S57"/>
  <sheetViews>
    <sheetView workbookViewId="0">
      <selection activeCell="G52" sqref="G52"/>
    </sheetView>
  </sheetViews>
  <sheetFormatPr defaultRowHeight="15"/>
  <cols>
    <col min="1" max="1" width="29.5703125" customWidth="1"/>
    <col min="2" max="2" width="25.140625" customWidth="1"/>
    <col min="3" max="3" width="11.85546875" customWidth="1"/>
    <col min="6" max="6" width="22" customWidth="1"/>
    <col min="7" max="7" width="19.42578125" customWidth="1"/>
    <col min="10" max="10" width="18.28515625" customWidth="1"/>
    <col min="17" max="17" width="42.140625" customWidth="1"/>
  </cols>
  <sheetData>
    <row r="1" spans="1:19">
      <c r="A1" t="s">
        <v>660</v>
      </c>
      <c r="F1" t="s">
        <v>661</v>
      </c>
    </row>
    <row r="2" spans="1:19" ht="30">
      <c r="A2" s="81" t="s">
        <v>1</v>
      </c>
      <c r="B2" s="83" t="s">
        <v>2</v>
      </c>
      <c r="C2" s="3" t="s">
        <v>6</v>
      </c>
      <c r="F2" s="93" t="s">
        <v>1</v>
      </c>
      <c r="G2" s="96" t="s">
        <v>284</v>
      </c>
      <c r="J2" s="104" t="s">
        <v>662</v>
      </c>
      <c r="K2" s="101" t="s">
        <v>275</v>
      </c>
      <c r="N2" t="s">
        <v>111</v>
      </c>
      <c r="Q2" s="137" t="s">
        <v>663</v>
      </c>
      <c r="S2" t="s">
        <v>250</v>
      </c>
    </row>
    <row r="3" spans="1:19">
      <c r="A3" s="74" t="s">
        <v>664</v>
      </c>
      <c r="B3" s="84" t="s">
        <v>534</v>
      </c>
      <c r="C3" s="82" t="s">
        <v>108</v>
      </c>
      <c r="F3" t="s">
        <v>76</v>
      </c>
      <c r="G3" t="s">
        <v>298</v>
      </c>
      <c r="J3" t="s">
        <v>665</v>
      </c>
      <c r="N3" t="s">
        <v>666</v>
      </c>
      <c r="Q3" s="138" t="s">
        <v>667</v>
      </c>
      <c r="S3" t="s">
        <v>668</v>
      </c>
    </row>
    <row r="4" spans="1:19">
      <c r="A4" s="74" t="s">
        <v>669</v>
      </c>
      <c r="B4" s="84" t="s">
        <v>645</v>
      </c>
      <c r="C4" s="82"/>
      <c r="F4" t="s">
        <v>77</v>
      </c>
      <c r="G4" t="s">
        <v>564</v>
      </c>
      <c r="J4" t="s">
        <v>106</v>
      </c>
      <c r="N4" t="s">
        <v>271</v>
      </c>
      <c r="Q4" s="137" t="s">
        <v>118</v>
      </c>
    </row>
    <row r="5" spans="1:19">
      <c r="A5" s="74" t="s">
        <v>670</v>
      </c>
      <c r="B5" s="84" t="s">
        <v>622</v>
      </c>
      <c r="C5" s="82"/>
      <c r="F5" t="s">
        <v>78</v>
      </c>
      <c r="G5" t="s">
        <v>671</v>
      </c>
      <c r="Q5" s="138" t="s">
        <v>136</v>
      </c>
    </row>
    <row r="6" spans="1:19">
      <c r="A6" s="74" t="s">
        <v>672</v>
      </c>
      <c r="B6" s="84" t="s">
        <v>366</v>
      </c>
      <c r="C6" s="82"/>
      <c r="F6" t="s">
        <v>80</v>
      </c>
      <c r="Q6" s="137" t="s">
        <v>673</v>
      </c>
    </row>
    <row r="7" spans="1:19">
      <c r="A7" s="74" t="s">
        <v>674</v>
      </c>
      <c r="B7" s="84" t="s">
        <v>646</v>
      </c>
      <c r="C7" s="82"/>
      <c r="F7" t="s">
        <v>79</v>
      </c>
      <c r="Q7" s="138" t="s">
        <v>675</v>
      </c>
    </row>
    <row r="8" spans="1:19">
      <c r="A8" s="80" t="s">
        <v>676</v>
      </c>
      <c r="B8" s="84" t="s">
        <v>677</v>
      </c>
      <c r="C8" s="82"/>
      <c r="F8" t="s">
        <v>326</v>
      </c>
      <c r="Q8" s="137" t="s">
        <v>126</v>
      </c>
    </row>
    <row r="9" spans="1:19">
      <c r="A9" s="80" t="s">
        <v>678</v>
      </c>
      <c r="B9" s="84" t="s">
        <v>679</v>
      </c>
      <c r="C9" s="82"/>
      <c r="F9" t="s">
        <v>81</v>
      </c>
      <c r="Q9" s="138" t="s">
        <v>110</v>
      </c>
    </row>
    <row r="10" spans="1:19">
      <c r="A10" s="80" t="s">
        <v>680</v>
      </c>
      <c r="B10" s="84" t="s">
        <v>615</v>
      </c>
      <c r="C10" s="82"/>
      <c r="F10" t="s">
        <v>61</v>
      </c>
      <c r="Q10" s="137" t="s">
        <v>160</v>
      </c>
    </row>
    <row r="11" spans="1:19">
      <c r="A11" s="80" t="s">
        <v>681</v>
      </c>
      <c r="B11" s="84" t="s">
        <v>682</v>
      </c>
      <c r="C11" s="82"/>
      <c r="Q11" s="138" t="s">
        <v>683</v>
      </c>
    </row>
    <row r="12" spans="1:19">
      <c r="A12" s="80" t="s">
        <v>684</v>
      </c>
      <c r="B12" s="85" t="s">
        <v>685</v>
      </c>
      <c r="C12" s="82"/>
      <c r="F12" s="4" t="s">
        <v>140</v>
      </c>
    </row>
    <row r="13" spans="1:19">
      <c r="A13" s="80" t="s">
        <v>686</v>
      </c>
      <c r="B13" s="85" t="s">
        <v>564</v>
      </c>
      <c r="C13" s="82"/>
      <c r="F13" s="4"/>
    </row>
    <row r="14" spans="1:19">
      <c r="A14" s="80" t="s">
        <v>687</v>
      </c>
      <c r="B14" s="85"/>
      <c r="C14" s="82"/>
    </row>
    <row r="15" spans="1:19">
      <c r="A15" s="80" t="s">
        <v>688</v>
      </c>
      <c r="B15" s="85"/>
      <c r="C15" s="82"/>
    </row>
    <row r="16" spans="1:19">
      <c r="A16" s="80" t="s">
        <v>689</v>
      </c>
      <c r="B16" s="85"/>
      <c r="C16" s="82"/>
    </row>
    <row r="17" spans="1:3">
      <c r="A17" s="80" t="s">
        <v>690</v>
      </c>
      <c r="B17" s="85"/>
      <c r="C17" s="82"/>
    </row>
    <row r="18" spans="1:3">
      <c r="A18" t="s">
        <v>691</v>
      </c>
      <c r="B18" s="85"/>
      <c r="C18" s="82"/>
    </row>
    <row r="19" spans="1:3">
      <c r="A19" t="s">
        <v>692</v>
      </c>
      <c r="B19" s="85"/>
      <c r="C19" s="82"/>
    </row>
    <row r="20" spans="1:3">
      <c r="A20" s="80" t="s">
        <v>693</v>
      </c>
      <c r="B20" s="85"/>
      <c r="C20" s="82"/>
    </row>
    <row r="21" spans="1:3">
      <c r="A21" s="80" t="s">
        <v>694</v>
      </c>
      <c r="B21" s="85"/>
      <c r="C21" s="82"/>
    </row>
    <row r="22" spans="1:3">
      <c r="A22" s="80" t="s">
        <v>695</v>
      </c>
      <c r="B22" s="85"/>
      <c r="C22" s="82"/>
    </row>
    <row r="23" spans="1:3">
      <c r="A23" s="80" t="s">
        <v>696</v>
      </c>
      <c r="B23" s="85"/>
      <c r="C23" s="82"/>
    </row>
    <row r="24" spans="1:3">
      <c r="A24" s="80" t="s">
        <v>697</v>
      </c>
      <c r="B24" s="85"/>
      <c r="C24" s="82"/>
    </row>
    <row r="25" spans="1:3">
      <c r="A25" s="80" t="s">
        <v>698</v>
      </c>
      <c r="B25" s="85"/>
      <c r="C25" s="82"/>
    </row>
    <row r="26" spans="1:3">
      <c r="A26" t="s">
        <v>699</v>
      </c>
      <c r="B26" s="85"/>
      <c r="C26" s="82"/>
    </row>
    <row r="27" spans="1:3">
      <c r="A27" s="80" t="s">
        <v>700</v>
      </c>
      <c r="B27" s="85"/>
      <c r="C27" s="82"/>
    </row>
    <row r="28" spans="1:3">
      <c r="A28" s="80" t="s">
        <v>701</v>
      </c>
      <c r="B28" s="85"/>
      <c r="C28" s="82"/>
    </row>
    <row r="29" spans="1:3">
      <c r="A29" s="80" t="s">
        <v>702</v>
      </c>
      <c r="B29" s="85"/>
      <c r="C29" s="82"/>
    </row>
    <row r="30" spans="1:3">
      <c r="B30" s="85"/>
      <c r="C30" s="82"/>
    </row>
    <row r="31" spans="1:3">
      <c r="B31" s="85"/>
      <c r="C31" s="82"/>
    </row>
    <row r="32" spans="1:3">
      <c r="B32" s="85"/>
      <c r="C32" s="82"/>
    </row>
    <row r="33" spans="1:3">
      <c r="A33" s="33"/>
      <c r="B33" s="85"/>
      <c r="C33" s="82"/>
    </row>
    <row r="34" spans="1:3">
      <c r="A34" s="33"/>
      <c r="B34" s="85"/>
      <c r="C34" s="82"/>
    </row>
    <row r="35" spans="1:3">
      <c r="A35" s="33"/>
      <c r="B35" s="85"/>
      <c r="C35" s="82"/>
    </row>
    <row r="36" spans="1:3">
      <c r="A36" s="33"/>
      <c r="B36" s="85"/>
      <c r="C36" s="82"/>
    </row>
    <row r="37" spans="1:3">
      <c r="B37" s="85"/>
      <c r="C37" s="82"/>
    </row>
    <row r="38" spans="1:3">
      <c r="B38" s="85"/>
      <c r="C38" s="82"/>
    </row>
    <row r="39" spans="1:3">
      <c r="A39" s="33"/>
      <c r="B39" s="86"/>
      <c r="C39" s="87"/>
    </row>
    <row r="40" spans="1:3">
      <c r="A40" s="33"/>
      <c r="B40" s="80"/>
      <c r="C40" s="82"/>
    </row>
    <row r="41" spans="1:3">
      <c r="B41" s="82"/>
      <c r="C41" s="82"/>
    </row>
    <row r="42" spans="1:3">
      <c r="A42" s="33"/>
      <c r="B42" s="82"/>
      <c r="C42" s="82"/>
    </row>
    <row r="43" spans="1:3">
      <c r="A43" s="33"/>
      <c r="B43" s="82"/>
      <c r="C43" s="82"/>
    </row>
    <row r="44" spans="1:3">
      <c r="A44" s="33"/>
      <c r="B44" s="82"/>
      <c r="C44" s="82"/>
    </row>
    <row r="45" spans="1:3">
      <c r="A45" s="82"/>
      <c r="B45" s="82"/>
      <c r="C45" s="82"/>
    </row>
    <row r="46" spans="1:3">
      <c r="A46" s="82"/>
      <c r="B46" s="82"/>
      <c r="C46" s="82"/>
    </row>
    <row r="47" spans="1:3">
      <c r="A47" s="82"/>
      <c r="B47" s="82"/>
      <c r="C47" s="82"/>
    </row>
    <row r="48" spans="1:3">
      <c r="A48" s="80"/>
      <c r="B48" s="82"/>
      <c r="C48" s="82"/>
    </row>
    <row r="49" spans="1:3">
      <c r="A49" s="80"/>
      <c r="B49" s="82"/>
      <c r="C49" s="82"/>
    </row>
    <row r="50" spans="1:3">
      <c r="A50" s="80"/>
      <c r="B50" s="82"/>
      <c r="C50" s="82"/>
    </row>
    <row r="51" spans="1:3">
      <c r="A51" s="80"/>
      <c r="B51" s="82"/>
      <c r="C51" s="82"/>
    </row>
    <row r="52" spans="1:3">
      <c r="A52" s="33"/>
      <c r="B52" s="82"/>
      <c r="C52" s="82"/>
    </row>
    <row r="53" spans="1:3">
      <c r="A53" s="33"/>
    </row>
    <row r="54" spans="1:3">
      <c r="A54" s="33"/>
    </row>
    <row r="55" spans="1:3">
      <c r="A55" s="33"/>
    </row>
    <row r="56" spans="1:3">
      <c r="A56" s="33"/>
    </row>
    <row r="57" spans="1:3">
      <c r="A57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1C1A-7302-4820-BC52-CA751949CFA7}">
  <dimension ref="A1:X218"/>
  <sheetViews>
    <sheetView workbookViewId="0">
      <pane ySplit="3" topLeftCell="A4" activePane="bottomLeft" state="frozen"/>
      <selection pane="bottomLeft" activeCell="E43" sqref="E43"/>
    </sheetView>
  </sheetViews>
  <sheetFormatPr defaultColWidth="9.28515625" defaultRowHeight="14.25" customHeight="1"/>
  <cols>
    <col min="1" max="1" width="10.85546875" style="75" customWidth="1"/>
    <col min="2" max="2" width="16.7109375" style="75" customWidth="1"/>
    <col min="3" max="3" width="24.42578125" style="75" hidden="1" customWidth="1"/>
    <col min="4" max="4" width="20.28515625" style="75" hidden="1" customWidth="1"/>
    <col min="5" max="5" width="19.42578125" style="75" customWidth="1"/>
    <col min="6" max="7" width="10.5703125" style="95" customWidth="1"/>
    <col min="8" max="8" width="13.42578125" style="75" customWidth="1"/>
    <col min="9" max="9" width="21.85546875" style="75" customWidth="1"/>
    <col min="10" max="10" width="17" style="75" customWidth="1"/>
    <col min="11" max="11" width="15.85546875" style="75" customWidth="1"/>
    <col min="12" max="12" width="16.85546875" style="75" customWidth="1"/>
    <col min="13" max="13" width="10.5703125" style="75" customWidth="1"/>
    <col min="14" max="14" width="13" style="75" customWidth="1"/>
    <col min="15" max="15" width="22.85546875" style="75" customWidth="1"/>
    <col min="16" max="16" width="10.5703125" style="75" customWidth="1"/>
    <col min="17" max="17" width="34.140625" style="75" customWidth="1"/>
    <col min="18" max="20" width="21.85546875" style="75" customWidth="1"/>
    <col min="21" max="16384" width="9.28515625" style="75"/>
  </cols>
  <sheetData>
    <row r="1" spans="1:24" ht="33" customHeight="1">
      <c r="A1" s="89" t="s">
        <v>703</v>
      </c>
      <c r="B1" s="90"/>
      <c r="C1" s="91"/>
      <c r="D1" s="91"/>
      <c r="E1" s="91"/>
      <c r="F1" s="97"/>
      <c r="G1" s="97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92"/>
      <c r="W1" s="92"/>
      <c r="X1" s="92"/>
    </row>
    <row r="3" spans="1:24" s="102" customFormat="1" ht="29.25" customHeight="1">
      <c r="A3" s="100" t="s">
        <v>273</v>
      </c>
      <c r="B3" s="101" t="s">
        <v>16</v>
      </c>
      <c r="C3" s="101" t="s">
        <v>274</v>
      </c>
      <c r="D3" s="101" t="s">
        <v>87</v>
      </c>
      <c r="E3" s="101" t="s">
        <v>275</v>
      </c>
      <c r="F3" s="101" t="s">
        <v>276</v>
      </c>
      <c r="G3" s="101" t="s">
        <v>89</v>
      </c>
      <c r="H3" s="103" t="s">
        <v>608</v>
      </c>
      <c r="I3" s="103" t="s">
        <v>609</v>
      </c>
      <c r="J3" s="103" t="s">
        <v>279</v>
      </c>
      <c r="K3" s="103" t="s">
        <v>280</v>
      </c>
      <c r="L3" s="101" t="s">
        <v>281</v>
      </c>
      <c r="M3" s="101" t="s">
        <v>610</v>
      </c>
      <c r="N3" s="101" t="s">
        <v>611</v>
      </c>
      <c r="O3" s="103" t="s">
        <v>284</v>
      </c>
      <c r="P3" s="103" t="s">
        <v>285</v>
      </c>
      <c r="Q3" s="103" t="s">
        <v>104</v>
      </c>
      <c r="R3" s="101" t="s">
        <v>286</v>
      </c>
      <c r="S3" s="101" t="s">
        <v>287</v>
      </c>
      <c r="T3" s="101" t="s">
        <v>288</v>
      </c>
    </row>
    <row r="4" spans="1:24" ht="15">
      <c r="A4" s="74" t="s">
        <v>358</v>
      </c>
      <c r="B4" s="74" t="s">
        <v>76</v>
      </c>
      <c r="C4" s="74"/>
      <c r="D4" s="74"/>
      <c r="E4" s="74" t="s">
        <v>492</v>
      </c>
      <c r="F4" s="88" t="s">
        <v>296</v>
      </c>
      <c r="G4" s="88">
        <v>1</v>
      </c>
      <c r="H4" s="98"/>
      <c r="I4" s="99" t="s">
        <v>109</v>
      </c>
      <c r="J4" s="98" t="s">
        <v>637</v>
      </c>
      <c r="K4" s="98" t="s">
        <v>704</v>
      </c>
      <c r="L4" s="112"/>
      <c r="M4" s="113">
        <v>45877</v>
      </c>
      <c r="N4" s="74"/>
      <c r="O4" s="98" t="s">
        <v>298</v>
      </c>
      <c r="P4" s="74"/>
      <c r="Q4" s="74"/>
      <c r="R4" s="74"/>
      <c r="S4" s="74"/>
      <c r="T4" s="74"/>
    </row>
    <row r="5" spans="1:24" ht="15">
      <c r="A5" s="74" t="s">
        <v>398</v>
      </c>
      <c r="B5" s="74" t="s">
        <v>76</v>
      </c>
      <c r="C5" s="74"/>
      <c r="D5" s="74"/>
      <c r="E5" s="74"/>
      <c r="F5" s="88" t="s">
        <v>296</v>
      </c>
      <c r="G5" s="88">
        <v>1</v>
      </c>
      <c r="H5" s="98"/>
      <c r="I5" s="98"/>
      <c r="J5" s="98"/>
      <c r="K5" s="98"/>
      <c r="L5" s="74"/>
      <c r="M5" s="74"/>
      <c r="N5" s="74"/>
      <c r="O5" s="98"/>
      <c r="P5" s="74"/>
      <c r="Q5" s="74"/>
      <c r="R5" s="74"/>
      <c r="S5" s="74"/>
      <c r="T5" s="74"/>
    </row>
    <row r="6" spans="1:24" ht="15">
      <c r="A6" s="74" t="s">
        <v>364</v>
      </c>
      <c r="B6" s="74" t="s">
        <v>76</v>
      </c>
      <c r="C6" s="74"/>
      <c r="D6" s="74"/>
      <c r="E6" s="74"/>
      <c r="F6" s="88" t="s">
        <v>296</v>
      </c>
      <c r="G6" s="88">
        <v>1</v>
      </c>
      <c r="H6" s="98"/>
      <c r="I6" s="98"/>
      <c r="J6" s="98"/>
      <c r="K6" s="98"/>
      <c r="L6" s="74"/>
      <c r="M6" s="74"/>
      <c r="N6" s="74"/>
      <c r="O6" s="98"/>
      <c r="P6" s="74"/>
      <c r="Q6" s="74"/>
      <c r="R6" s="74"/>
      <c r="S6" s="74"/>
      <c r="T6" s="74"/>
    </row>
    <row r="7" spans="1:24" ht="15">
      <c r="A7" s="74" t="s">
        <v>180</v>
      </c>
      <c r="B7" s="74" t="s">
        <v>76</v>
      </c>
      <c r="C7" s="74"/>
      <c r="D7" s="74"/>
      <c r="E7" s="74"/>
      <c r="F7" s="88" t="s">
        <v>296</v>
      </c>
      <c r="G7" s="88">
        <v>1</v>
      </c>
      <c r="H7" s="98"/>
      <c r="I7" s="98"/>
      <c r="J7" s="98"/>
      <c r="K7" s="98"/>
      <c r="L7" s="74"/>
      <c r="M7" s="74"/>
      <c r="N7" s="74"/>
      <c r="O7" s="98"/>
      <c r="P7" s="74"/>
      <c r="Q7" s="74"/>
      <c r="R7" s="74"/>
      <c r="S7" s="74"/>
      <c r="T7" s="74"/>
    </row>
    <row r="8" spans="1:24" ht="15">
      <c r="A8" s="74" t="s">
        <v>411</v>
      </c>
      <c r="B8" s="74" t="s">
        <v>76</v>
      </c>
      <c r="C8" s="74"/>
      <c r="D8" s="74"/>
      <c r="E8" s="74"/>
      <c r="F8" s="88" t="s">
        <v>296</v>
      </c>
      <c r="G8" s="88">
        <v>1</v>
      </c>
      <c r="H8" s="98"/>
      <c r="I8" s="98"/>
      <c r="J8" s="98"/>
      <c r="K8" s="98"/>
      <c r="L8" s="74"/>
      <c r="M8" s="74"/>
      <c r="N8" s="74"/>
      <c r="O8" s="98"/>
      <c r="P8" s="74"/>
      <c r="Q8" s="74"/>
      <c r="R8" s="74"/>
      <c r="S8" s="74"/>
      <c r="T8" s="74"/>
    </row>
    <row r="9" spans="1:24" ht="15">
      <c r="A9" s="74" t="s">
        <v>584</v>
      </c>
      <c r="B9" s="74" t="s">
        <v>76</v>
      </c>
      <c r="C9" s="74"/>
      <c r="D9" s="74"/>
      <c r="E9" s="74"/>
      <c r="F9" s="88" t="s">
        <v>296</v>
      </c>
      <c r="G9" s="88">
        <v>1</v>
      </c>
      <c r="H9" s="98"/>
      <c r="I9" s="98"/>
      <c r="J9" s="98"/>
      <c r="K9" s="98"/>
      <c r="L9" s="74"/>
      <c r="M9" s="74"/>
      <c r="N9" s="74"/>
      <c r="O9" s="98"/>
      <c r="P9" s="74"/>
      <c r="Q9" s="74"/>
      <c r="R9" s="74"/>
      <c r="S9" s="74"/>
      <c r="T9" s="74"/>
    </row>
    <row r="10" spans="1:24" ht="15">
      <c r="A10" s="110" t="s">
        <v>264</v>
      </c>
      <c r="B10" s="110" t="s">
        <v>77</v>
      </c>
      <c r="C10" s="110"/>
      <c r="D10" s="114"/>
      <c r="E10" s="110" t="s">
        <v>705</v>
      </c>
      <c r="F10" s="111" t="s">
        <v>296</v>
      </c>
      <c r="G10" s="111">
        <v>1</v>
      </c>
      <c r="H10" s="98"/>
      <c r="I10" s="98" t="s">
        <v>115</v>
      </c>
      <c r="J10" s="98" t="s">
        <v>706</v>
      </c>
      <c r="K10" s="98" t="s">
        <v>704</v>
      </c>
      <c r="L10" s="112"/>
      <c r="M10" s="113">
        <v>45877</v>
      </c>
      <c r="N10" s="74"/>
      <c r="O10" s="98" t="s">
        <v>298</v>
      </c>
      <c r="P10" s="74"/>
      <c r="Q10" s="74"/>
      <c r="R10" s="74"/>
      <c r="S10" s="74"/>
      <c r="T10" s="74"/>
    </row>
    <row r="11" spans="1:24" ht="15">
      <c r="A11" s="110" t="s">
        <v>503</v>
      </c>
      <c r="B11" s="110" t="s">
        <v>77</v>
      </c>
      <c r="C11" s="110"/>
      <c r="D11" s="110"/>
      <c r="E11" s="110" t="s">
        <v>492</v>
      </c>
      <c r="F11" s="111" t="s">
        <v>296</v>
      </c>
      <c r="G11" s="111">
        <v>1</v>
      </c>
      <c r="H11" s="98"/>
      <c r="I11" s="98" t="s">
        <v>707</v>
      </c>
      <c r="J11" s="98" t="s">
        <v>637</v>
      </c>
      <c r="K11" s="98" t="s">
        <v>704</v>
      </c>
      <c r="L11" s="112"/>
      <c r="M11" s="113">
        <v>45877</v>
      </c>
      <c r="N11" s="74"/>
      <c r="O11" s="98" t="s">
        <v>298</v>
      </c>
      <c r="P11" s="74"/>
      <c r="Q11" s="74"/>
      <c r="R11" s="74"/>
      <c r="S11" s="74"/>
      <c r="T11" s="74"/>
    </row>
    <row r="12" spans="1:24" ht="15">
      <c r="A12" s="110" t="s">
        <v>259</v>
      </c>
      <c r="B12" s="110" t="s">
        <v>77</v>
      </c>
      <c r="C12" s="110"/>
      <c r="D12" s="114"/>
      <c r="E12" s="110" t="s">
        <v>492</v>
      </c>
      <c r="F12" s="111" t="s">
        <v>296</v>
      </c>
      <c r="G12" s="111">
        <v>1</v>
      </c>
      <c r="H12" s="98"/>
      <c r="I12" s="98" t="s">
        <v>209</v>
      </c>
      <c r="J12" s="98" t="s">
        <v>637</v>
      </c>
      <c r="K12" s="98" t="s">
        <v>704</v>
      </c>
      <c r="L12" s="112"/>
      <c r="M12" s="113">
        <v>45877</v>
      </c>
      <c r="N12" s="74"/>
      <c r="O12" s="98" t="s">
        <v>298</v>
      </c>
      <c r="P12" s="74"/>
      <c r="Q12" s="74"/>
      <c r="R12" s="74"/>
      <c r="S12" s="74"/>
      <c r="T12" s="74"/>
    </row>
    <row r="13" spans="1:24" ht="15">
      <c r="A13" s="110" t="s">
        <v>519</v>
      </c>
      <c r="B13" s="110" t="s">
        <v>77</v>
      </c>
      <c r="C13" s="110"/>
      <c r="D13" s="114"/>
      <c r="E13" s="110" t="s">
        <v>492</v>
      </c>
      <c r="F13" s="111" t="s">
        <v>296</v>
      </c>
      <c r="G13" s="111">
        <v>1</v>
      </c>
      <c r="H13" s="98"/>
      <c r="I13" s="98" t="s">
        <v>708</v>
      </c>
      <c r="J13" s="98" t="s">
        <v>637</v>
      </c>
      <c r="K13" s="98" t="s">
        <v>704</v>
      </c>
      <c r="L13" s="112"/>
      <c r="M13" s="113">
        <v>45877</v>
      </c>
      <c r="N13" s="74"/>
      <c r="O13" s="98" t="s">
        <v>298</v>
      </c>
      <c r="P13" s="74"/>
      <c r="Q13" s="74"/>
      <c r="R13" s="74"/>
      <c r="S13" s="74"/>
      <c r="T13" s="74"/>
    </row>
    <row r="14" spans="1:24" ht="15">
      <c r="A14" s="110" t="s">
        <v>497</v>
      </c>
      <c r="B14" s="110" t="s">
        <v>77</v>
      </c>
      <c r="C14" s="110"/>
      <c r="D14" s="114"/>
      <c r="E14" s="110" t="s">
        <v>492</v>
      </c>
      <c r="F14" s="111" t="s">
        <v>296</v>
      </c>
      <c r="G14" s="111">
        <v>1</v>
      </c>
      <c r="H14" s="98"/>
      <c r="I14" s="98" t="s">
        <v>709</v>
      </c>
      <c r="J14" s="98" t="s">
        <v>637</v>
      </c>
      <c r="K14" s="98" t="s">
        <v>704</v>
      </c>
      <c r="L14" s="112"/>
      <c r="M14" s="113">
        <v>45877</v>
      </c>
      <c r="N14" s="74"/>
      <c r="O14" s="98" t="s">
        <v>298</v>
      </c>
      <c r="P14" s="74"/>
      <c r="Q14" s="74"/>
      <c r="R14" s="74"/>
      <c r="S14" s="74"/>
      <c r="T14" s="74"/>
    </row>
    <row r="15" spans="1:24" ht="15">
      <c r="A15" s="110" t="s">
        <v>490</v>
      </c>
      <c r="B15" s="110" t="s">
        <v>77</v>
      </c>
      <c r="C15" s="110"/>
      <c r="D15" s="114"/>
      <c r="E15" s="110" t="s">
        <v>492</v>
      </c>
      <c r="F15" s="111" t="s">
        <v>296</v>
      </c>
      <c r="G15" s="111">
        <v>1</v>
      </c>
      <c r="H15" s="98"/>
      <c r="I15" s="98" t="s">
        <v>710</v>
      </c>
      <c r="J15" s="98" t="s">
        <v>637</v>
      </c>
      <c r="K15" s="98" t="s">
        <v>704</v>
      </c>
      <c r="L15" s="112"/>
      <c r="M15" s="113">
        <v>45877</v>
      </c>
      <c r="N15" s="74"/>
      <c r="O15" s="98" t="s">
        <v>298</v>
      </c>
      <c r="P15" s="74"/>
      <c r="Q15" s="74"/>
      <c r="R15" s="98"/>
      <c r="S15" s="74"/>
      <c r="T15" s="74"/>
    </row>
    <row r="16" spans="1:24" ht="15">
      <c r="A16" s="110" t="s">
        <v>260</v>
      </c>
      <c r="B16" s="110" t="s">
        <v>77</v>
      </c>
      <c r="C16" s="110"/>
      <c r="D16" s="114"/>
      <c r="E16" s="110" t="s">
        <v>295</v>
      </c>
      <c r="F16" s="111" t="s">
        <v>296</v>
      </c>
      <c r="G16" s="111">
        <v>1</v>
      </c>
      <c r="H16" s="98"/>
      <c r="I16" s="98" t="s">
        <v>711</v>
      </c>
      <c r="J16" s="98" t="s">
        <v>629</v>
      </c>
      <c r="K16" s="98" t="s">
        <v>704</v>
      </c>
      <c r="L16" s="74"/>
      <c r="M16" s="113">
        <v>45877</v>
      </c>
      <c r="N16" s="74"/>
      <c r="O16" s="98" t="s">
        <v>298</v>
      </c>
      <c r="P16" s="74"/>
      <c r="Q16" s="74"/>
      <c r="R16" s="74"/>
      <c r="S16" s="74"/>
      <c r="T16" s="74"/>
    </row>
    <row r="17" spans="1:20" ht="15">
      <c r="A17" s="110" t="s">
        <v>590</v>
      </c>
      <c r="B17" s="110" t="s">
        <v>77</v>
      </c>
      <c r="C17" s="110"/>
      <c r="D17" s="110"/>
      <c r="E17" s="110" t="s">
        <v>295</v>
      </c>
      <c r="F17" s="111" t="s">
        <v>296</v>
      </c>
      <c r="G17" s="111">
        <v>1</v>
      </c>
      <c r="H17" s="98"/>
      <c r="I17" s="99" t="s">
        <v>125</v>
      </c>
      <c r="J17" s="98" t="s">
        <v>629</v>
      </c>
      <c r="K17" s="98" t="s">
        <v>704</v>
      </c>
      <c r="L17" s="74"/>
      <c r="M17" s="113">
        <v>45877</v>
      </c>
      <c r="N17" s="74"/>
      <c r="O17" s="98" t="s">
        <v>298</v>
      </c>
      <c r="P17" s="74"/>
      <c r="Q17" s="74"/>
      <c r="R17" s="74"/>
      <c r="S17" s="74"/>
      <c r="T17" s="74"/>
    </row>
    <row r="18" spans="1:20" ht="15">
      <c r="A18" s="110" t="s">
        <v>315</v>
      </c>
      <c r="B18" s="110" t="s">
        <v>77</v>
      </c>
      <c r="C18" s="110"/>
      <c r="D18" s="110"/>
      <c r="E18" s="110" t="s">
        <v>295</v>
      </c>
      <c r="F18" s="111" t="s">
        <v>296</v>
      </c>
      <c r="G18" s="111">
        <v>1</v>
      </c>
      <c r="H18" s="98"/>
      <c r="I18" s="98" t="s">
        <v>127</v>
      </c>
      <c r="J18" s="98" t="s">
        <v>629</v>
      </c>
      <c r="K18" s="98" t="s">
        <v>704</v>
      </c>
      <c r="L18" s="74"/>
      <c r="M18" s="113">
        <v>45877</v>
      </c>
      <c r="N18" s="74"/>
      <c r="O18" s="98" t="s">
        <v>298</v>
      </c>
      <c r="P18" s="74"/>
      <c r="Q18" s="74"/>
      <c r="R18" s="74"/>
      <c r="S18" s="74"/>
      <c r="T18" s="74"/>
    </row>
    <row r="19" spans="1:20" ht="15">
      <c r="A19" s="110" t="s">
        <v>293</v>
      </c>
      <c r="B19" s="110" t="s">
        <v>77</v>
      </c>
      <c r="C19" s="110"/>
      <c r="D19" s="110"/>
      <c r="E19" s="110" t="s">
        <v>295</v>
      </c>
      <c r="F19" s="111" t="s">
        <v>296</v>
      </c>
      <c r="G19" s="111">
        <v>1</v>
      </c>
      <c r="H19" s="98"/>
      <c r="I19" s="98" t="s">
        <v>712</v>
      </c>
      <c r="J19" s="98" t="s">
        <v>629</v>
      </c>
      <c r="K19" s="98" t="s">
        <v>704</v>
      </c>
      <c r="L19" s="74"/>
      <c r="M19" s="113">
        <v>45877</v>
      </c>
      <c r="N19" s="74"/>
      <c r="O19" s="98"/>
      <c r="P19" s="74"/>
      <c r="Q19" s="74"/>
      <c r="R19" s="74"/>
      <c r="S19" s="74"/>
      <c r="T19" s="74"/>
    </row>
    <row r="20" spans="1:20" ht="15">
      <c r="A20" s="110" t="s">
        <v>302</v>
      </c>
      <c r="B20" s="110" t="s">
        <v>77</v>
      </c>
      <c r="C20" s="110"/>
      <c r="D20" s="110"/>
      <c r="E20" s="110" t="s">
        <v>295</v>
      </c>
      <c r="F20" s="111" t="s">
        <v>296</v>
      </c>
      <c r="G20" s="111">
        <v>1</v>
      </c>
      <c r="H20" s="98"/>
      <c r="I20" s="98" t="s">
        <v>713</v>
      </c>
      <c r="J20" s="98" t="s">
        <v>629</v>
      </c>
      <c r="K20" s="98" t="s">
        <v>704</v>
      </c>
      <c r="L20" s="74"/>
      <c r="M20" s="113">
        <v>45877</v>
      </c>
      <c r="N20" s="74"/>
      <c r="O20" s="98" t="s">
        <v>564</v>
      </c>
      <c r="P20" s="74"/>
      <c r="Q20" s="74"/>
      <c r="R20" s="74"/>
      <c r="S20" s="74"/>
      <c r="T20" s="74"/>
    </row>
    <row r="21" spans="1:20" ht="15">
      <c r="A21" s="110" t="s">
        <v>261</v>
      </c>
      <c r="B21" s="110" t="s">
        <v>77</v>
      </c>
      <c r="C21" s="110"/>
      <c r="D21" s="110"/>
      <c r="E21" s="110" t="s">
        <v>345</v>
      </c>
      <c r="F21" s="111" t="s">
        <v>296</v>
      </c>
      <c r="G21" s="111">
        <v>1</v>
      </c>
      <c r="H21" s="98"/>
      <c r="I21" s="98" t="s">
        <v>195</v>
      </c>
      <c r="J21" s="98" t="s">
        <v>635</v>
      </c>
      <c r="K21" s="98" t="s">
        <v>704</v>
      </c>
      <c r="L21" s="74"/>
      <c r="M21" s="113">
        <v>45877</v>
      </c>
      <c r="N21" s="74"/>
      <c r="O21" s="98" t="s">
        <v>298</v>
      </c>
      <c r="P21" s="74"/>
      <c r="Q21" s="74"/>
      <c r="R21" s="74"/>
      <c r="S21" s="74"/>
      <c r="T21" s="74"/>
    </row>
    <row r="22" spans="1:20" ht="15">
      <c r="A22" s="110" t="s">
        <v>262</v>
      </c>
      <c r="B22" s="110" t="s">
        <v>77</v>
      </c>
      <c r="C22" s="110"/>
      <c r="D22" s="110"/>
      <c r="E22" s="110" t="s">
        <v>345</v>
      </c>
      <c r="F22" s="111" t="s">
        <v>296</v>
      </c>
      <c r="G22" s="111">
        <v>1</v>
      </c>
      <c r="H22" s="98"/>
      <c r="I22" s="98" t="s">
        <v>201</v>
      </c>
      <c r="J22" s="98" t="s">
        <v>635</v>
      </c>
      <c r="K22" s="98" t="s">
        <v>704</v>
      </c>
      <c r="L22" s="74"/>
      <c r="M22" s="113">
        <v>45877</v>
      </c>
      <c r="N22" s="74"/>
      <c r="O22" s="98" t="s">
        <v>298</v>
      </c>
      <c r="P22" s="74"/>
      <c r="Q22" s="74"/>
      <c r="R22" s="74"/>
      <c r="S22" s="74"/>
      <c r="T22" s="74"/>
    </row>
    <row r="23" spans="1:20" ht="15">
      <c r="A23" s="121" t="s">
        <v>253</v>
      </c>
      <c r="B23" s="121" t="s">
        <v>77</v>
      </c>
      <c r="C23" s="121"/>
      <c r="D23" s="121"/>
      <c r="E23" s="121" t="s">
        <v>345</v>
      </c>
      <c r="F23" s="106" t="s">
        <v>296</v>
      </c>
      <c r="G23" s="106">
        <v>1</v>
      </c>
      <c r="H23" s="121"/>
      <c r="I23" s="121"/>
      <c r="J23" s="121"/>
      <c r="K23" s="121"/>
      <c r="L23" s="121"/>
      <c r="M23" s="121"/>
      <c r="N23" s="121"/>
      <c r="O23" s="121" t="s">
        <v>564</v>
      </c>
      <c r="P23" s="121"/>
      <c r="Q23" s="121" t="s">
        <v>714</v>
      </c>
      <c r="R23" s="74"/>
      <c r="S23" s="74"/>
      <c r="T23" s="74"/>
    </row>
    <row r="24" spans="1:20" ht="15">
      <c r="A24" s="110" t="s">
        <v>382</v>
      </c>
      <c r="B24" s="110" t="s">
        <v>77</v>
      </c>
      <c r="C24" s="110"/>
      <c r="D24" s="110"/>
      <c r="E24" s="110" t="s">
        <v>373</v>
      </c>
      <c r="F24" s="111" t="s">
        <v>296</v>
      </c>
      <c r="G24" s="111">
        <v>1</v>
      </c>
      <c r="H24" s="98"/>
      <c r="I24" s="98" t="s">
        <v>161</v>
      </c>
      <c r="J24" s="98" t="s">
        <v>633</v>
      </c>
      <c r="K24" s="98" t="s">
        <v>704</v>
      </c>
      <c r="L24" s="74"/>
      <c r="M24" s="113">
        <v>45877</v>
      </c>
      <c r="N24" s="74"/>
      <c r="O24" s="98" t="s">
        <v>298</v>
      </c>
      <c r="P24" s="74"/>
      <c r="Q24" s="74"/>
      <c r="R24" s="74"/>
      <c r="S24" s="74"/>
      <c r="T24" s="74"/>
    </row>
    <row r="25" spans="1:20" ht="15">
      <c r="A25" s="110" t="s">
        <v>579</v>
      </c>
      <c r="B25" s="110" t="s">
        <v>77</v>
      </c>
      <c r="C25" s="110"/>
      <c r="D25" s="110"/>
      <c r="E25" s="110" t="s">
        <v>373</v>
      </c>
      <c r="F25" s="111" t="s">
        <v>296</v>
      </c>
      <c r="G25" s="111">
        <v>1</v>
      </c>
      <c r="H25" s="98"/>
      <c r="I25" s="98" t="s">
        <v>715</v>
      </c>
      <c r="J25" s="98" t="s">
        <v>633</v>
      </c>
      <c r="K25" s="98" t="s">
        <v>704</v>
      </c>
      <c r="L25" s="74"/>
      <c r="M25" s="113">
        <v>45877</v>
      </c>
      <c r="N25" s="74"/>
      <c r="O25" s="98" t="s">
        <v>298</v>
      </c>
      <c r="P25" s="74"/>
      <c r="Q25" s="74"/>
      <c r="R25" s="74"/>
      <c r="S25" s="74"/>
      <c r="T25" s="74"/>
    </row>
    <row r="26" spans="1:20" ht="15">
      <c r="A26" s="121" t="s">
        <v>256</v>
      </c>
      <c r="B26" s="121" t="s">
        <v>77</v>
      </c>
      <c r="C26" s="110"/>
      <c r="D26" s="110"/>
      <c r="E26" s="121" t="s">
        <v>345</v>
      </c>
      <c r="F26" s="106" t="s">
        <v>296</v>
      </c>
      <c r="G26" s="106">
        <v>1</v>
      </c>
      <c r="H26" s="121"/>
      <c r="I26" s="121"/>
      <c r="J26" s="121"/>
      <c r="K26" s="121"/>
      <c r="L26" s="121"/>
      <c r="M26" s="121"/>
      <c r="N26" s="121"/>
      <c r="O26" s="121" t="s">
        <v>564</v>
      </c>
      <c r="P26" s="121"/>
      <c r="Q26" s="121" t="s">
        <v>716</v>
      </c>
      <c r="R26" s="74"/>
      <c r="S26" s="74"/>
      <c r="T26" s="74"/>
    </row>
    <row r="27" spans="1:20" ht="15">
      <c r="A27" s="110" t="s">
        <v>541</v>
      </c>
      <c r="B27" s="110" t="s">
        <v>77</v>
      </c>
      <c r="C27" s="110"/>
      <c r="D27" s="110"/>
      <c r="E27" s="110" t="s">
        <v>408</v>
      </c>
      <c r="F27" s="111" t="s">
        <v>296</v>
      </c>
      <c r="G27" s="111">
        <v>1</v>
      </c>
      <c r="H27" s="98"/>
      <c r="I27" s="98" t="s">
        <v>135</v>
      </c>
      <c r="J27" s="98" t="s">
        <v>717</v>
      </c>
      <c r="K27" s="98" t="s">
        <v>704</v>
      </c>
      <c r="L27" s="74"/>
      <c r="M27" s="113">
        <v>45877</v>
      </c>
      <c r="N27" s="74"/>
      <c r="O27" s="98" t="s">
        <v>298</v>
      </c>
      <c r="P27" s="74"/>
      <c r="Q27" s="74"/>
      <c r="R27" s="74"/>
      <c r="S27" s="74"/>
      <c r="T27" s="74"/>
    </row>
    <row r="28" spans="1:20" ht="15">
      <c r="A28" s="110" t="s">
        <v>419</v>
      </c>
      <c r="B28" s="110" t="s">
        <v>77</v>
      </c>
      <c r="C28" s="110"/>
      <c r="D28" s="110"/>
      <c r="E28" s="110" t="s">
        <v>408</v>
      </c>
      <c r="F28" s="111" t="s">
        <v>296</v>
      </c>
      <c r="G28" s="111">
        <v>1</v>
      </c>
      <c r="H28" s="98"/>
      <c r="I28" s="98" t="s">
        <v>718</v>
      </c>
      <c r="J28" s="98" t="s">
        <v>717</v>
      </c>
      <c r="K28" s="98" t="s">
        <v>704</v>
      </c>
      <c r="L28" s="74"/>
      <c r="M28" s="113">
        <v>45877</v>
      </c>
      <c r="N28" s="74"/>
      <c r="O28" s="98" t="s">
        <v>298</v>
      </c>
      <c r="P28" s="74"/>
      <c r="Q28" s="74"/>
      <c r="R28" s="74"/>
      <c r="S28" s="74"/>
      <c r="T28" s="74"/>
    </row>
    <row r="29" spans="1:20" ht="15">
      <c r="A29" s="110" t="s">
        <v>423</v>
      </c>
      <c r="B29" s="110" t="s">
        <v>77</v>
      </c>
      <c r="C29" s="110"/>
      <c r="D29" s="110"/>
      <c r="E29" s="110" t="s">
        <v>408</v>
      </c>
      <c r="F29" s="111" t="s">
        <v>296</v>
      </c>
      <c r="G29" s="111">
        <v>1</v>
      </c>
      <c r="H29" s="98"/>
      <c r="I29" s="98" t="s">
        <v>719</v>
      </c>
      <c r="J29" s="98" t="s">
        <v>717</v>
      </c>
      <c r="K29" s="98" t="s">
        <v>704</v>
      </c>
      <c r="L29" s="74"/>
      <c r="M29" s="113">
        <v>45877</v>
      </c>
      <c r="N29" s="74"/>
      <c r="O29" s="98" t="s">
        <v>298</v>
      </c>
      <c r="P29" s="74"/>
      <c r="Q29" s="74"/>
      <c r="R29" s="74"/>
      <c r="S29" s="74"/>
      <c r="T29" s="74"/>
    </row>
    <row r="30" spans="1:20" ht="16.5" customHeight="1">
      <c r="A30" s="110" t="s">
        <v>406</v>
      </c>
      <c r="B30" s="110" t="s">
        <v>77</v>
      </c>
      <c r="C30" s="110"/>
      <c r="D30" s="110"/>
      <c r="E30" s="110" t="s">
        <v>408</v>
      </c>
      <c r="F30" s="111" t="s">
        <v>296</v>
      </c>
      <c r="G30" s="111">
        <v>1</v>
      </c>
      <c r="H30" s="98"/>
      <c r="I30" s="98" t="s">
        <v>720</v>
      </c>
      <c r="J30" s="98" t="s">
        <v>717</v>
      </c>
      <c r="K30" s="98" t="s">
        <v>704</v>
      </c>
      <c r="L30" s="74"/>
      <c r="M30" s="113">
        <v>45877</v>
      </c>
      <c r="N30" s="74"/>
      <c r="O30" s="98" t="s">
        <v>298</v>
      </c>
      <c r="P30" s="74"/>
      <c r="Q30" s="74"/>
      <c r="R30" s="74"/>
      <c r="S30" s="74"/>
      <c r="T30" s="74"/>
    </row>
    <row r="31" spans="1:20" ht="16.5" customHeight="1">
      <c r="A31" s="110" t="s">
        <v>263</v>
      </c>
      <c r="B31" s="110" t="s">
        <v>77</v>
      </c>
      <c r="C31" s="110"/>
      <c r="D31" s="110"/>
      <c r="E31" s="110" t="s">
        <v>408</v>
      </c>
      <c r="F31" s="111" t="s">
        <v>296</v>
      </c>
      <c r="G31" s="111">
        <v>1</v>
      </c>
      <c r="H31" s="98"/>
      <c r="I31" s="98" t="s">
        <v>721</v>
      </c>
      <c r="J31" s="98" t="s">
        <v>717</v>
      </c>
      <c r="K31" s="98" t="s">
        <v>704</v>
      </c>
      <c r="L31" s="74"/>
      <c r="M31" s="113">
        <v>45877</v>
      </c>
      <c r="N31" s="74"/>
      <c r="O31" s="98" t="s">
        <v>298</v>
      </c>
      <c r="P31" s="74"/>
      <c r="Q31" s="74"/>
      <c r="R31" s="74"/>
      <c r="S31" s="74"/>
      <c r="T31" s="74"/>
    </row>
    <row r="32" spans="1:20" ht="16.5" customHeight="1">
      <c r="A32" s="110" t="s">
        <v>441</v>
      </c>
      <c r="B32" s="110" t="s">
        <v>77</v>
      </c>
      <c r="C32" s="110"/>
      <c r="D32" s="110"/>
      <c r="E32" s="110" t="s">
        <v>443</v>
      </c>
      <c r="F32" s="111" t="s">
        <v>296</v>
      </c>
      <c r="G32" s="111">
        <v>1</v>
      </c>
      <c r="H32" s="98"/>
      <c r="I32" s="98" t="s">
        <v>117</v>
      </c>
      <c r="J32" s="98" t="s">
        <v>722</v>
      </c>
      <c r="K32" s="98" t="s">
        <v>704</v>
      </c>
      <c r="L32" s="74"/>
      <c r="M32" s="74"/>
      <c r="N32" s="74"/>
      <c r="O32" s="98" t="s">
        <v>298</v>
      </c>
      <c r="P32" s="74"/>
      <c r="Q32" s="74"/>
      <c r="R32" s="74"/>
      <c r="S32" s="74"/>
      <c r="T32" s="74"/>
    </row>
    <row r="33" spans="1:20" ht="16.5" customHeight="1">
      <c r="A33" s="110" t="s">
        <v>451</v>
      </c>
      <c r="B33" s="110" t="s">
        <v>77</v>
      </c>
      <c r="C33" s="110"/>
      <c r="D33" s="110"/>
      <c r="E33" s="110" t="s">
        <v>443</v>
      </c>
      <c r="F33" s="111" t="s">
        <v>296</v>
      </c>
      <c r="G33" s="111">
        <v>1</v>
      </c>
      <c r="H33" s="98"/>
      <c r="I33" s="98" t="s">
        <v>723</v>
      </c>
      <c r="J33" s="98" t="s">
        <v>722</v>
      </c>
      <c r="K33" s="98" t="s">
        <v>704</v>
      </c>
      <c r="L33" s="74"/>
      <c r="M33" s="74"/>
      <c r="N33" s="74"/>
      <c r="O33" s="98" t="s">
        <v>298</v>
      </c>
      <c r="P33" s="74"/>
      <c r="Q33" s="74"/>
      <c r="R33" s="74"/>
      <c r="S33" s="74"/>
      <c r="T33" s="74"/>
    </row>
    <row r="34" spans="1:20" ht="16.5" customHeight="1">
      <c r="A34" s="110" t="s">
        <v>446</v>
      </c>
      <c r="B34" s="110" t="s">
        <v>77</v>
      </c>
      <c r="C34" s="110"/>
      <c r="D34" s="110"/>
      <c r="E34" s="110" t="s">
        <v>443</v>
      </c>
      <c r="F34" s="111" t="s">
        <v>296</v>
      </c>
      <c r="G34" s="111">
        <v>1</v>
      </c>
      <c r="H34" s="98"/>
      <c r="I34" s="98" t="s">
        <v>724</v>
      </c>
      <c r="J34" s="98" t="s">
        <v>722</v>
      </c>
      <c r="K34" s="98" t="s">
        <v>704</v>
      </c>
      <c r="L34" s="74"/>
      <c r="M34" s="74"/>
      <c r="N34" s="74"/>
      <c r="O34" s="98" t="s">
        <v>298</v>
      </c>
      <c r="P34" s="74"/>
      <c r="Q34" s="74"/>
      <c r="R34" s="74"/>
      <c r="S34" s="74"/>
      <c r="T34" s="74"/>
    </row>
    <row r="35" spans="1:20" ht="16.5" customHeight="1">
      <c r="A35" s="110" t="s">
        <v>456</v>
      </c>
      <c r="B35" s="110" t="s">
        <v>77</v>
      </c>
      <c r="C35" s="110"/>
      <c r="D35" s="110"/>
      <c r="E35" s="110" t="s">
        <v>443</v>
      </c>
      <c r="F35" s="111" t="s">
        <v>296</v>
      </c>
      <c r="G35" s="111">
        <v>1</v>
      </c>
      <c r="H35" s="98"/>
      <c r="I35" s="98" t="s">
        <v>234</v>
      </c>
      <c r="J35" s="98" t="s">
        <v>722</v>
      </c>
      <c r="K35" s="98" t="s">
        <v>704</v>
      </c>
      <c r="L35" s="74"/>
      <c r="M35" s="74"/>
      <c r="N35" s="74"/>
      <c r="O35" s="98" t="s">
        <v>298</v>
      </c>
      <c r="P35" s="74"/>
      <c r="Q35" s="74"/>
      <c r="R35" s="74"/>
      <c r="S35" s="74"/>
      <c r="T35" s="74"/>
    </row>
    <row r="36" spans="1:20" ht="16.5" customHeight="1">
      <c r="A36" s="110" t="s">
        <v>461</v>
      </c>
      <c r="B36" s="110" t="s">
        <v>77</v>
      </c>
      <c r="C36" s="110"/>
      <c r="D36" s="110"/>
      <c r="E36" s="110" t="s">
        <v>443</v>
      </c>
      <c r="F36" s="111" t="s">
        <v>296</v>
      </c>
      <c r="G36" s="111">
        <v>1</v>
      </c>
      <c r="H36" s="98"/>
      <c r="I36" s="98" t="s">
        <v>725</v>
      </c>
      <c r="J36" s="98" t="s">
        <v>722</v>
      </c>
      <c r="K36" s="98" t="s">
        <v>704</v>
      </c>
      <c r="L36" s="74"/>
      <c r="M36" s="74"/>
      <c r="N36" s="74"/>
      <c r="O36" s="98" t="s">
        <v>298</v>
      </c>
      <c r="P36" s="74"/>
      <c r="Q36" s="74"/>
      <c r="R36" s="74"/>
      <c r="S36" s="74"/>
      <c r="T36" s="74"/>
    </row>
    <row r="37" spans="1:20" ht="16.5" customHeight="1">
      <c r="A37" s="110" t="s">
        <v>468</v>
      </c>
      <c r="B37" s="110" t="s">
        <v>77</v>
      </c>
      <c r="C37" s="110"/>
      <c r="D37" s="110"/>
      <c r="E37" s="110" t="s">
        <v>443</v>
      </c>
      <c r="F37" s="111" t="s">
        <v>296</v>
      </c>
      <c r="G37" s="111">
        <v>1</v>
      </c>
      <c r="H37" s="98"/>
      <c r="I37" s="98" t="s">
        <v>726</v>
      </c>
      <c r="J37" s="98" t="s">
        <v>722</v>
      </c>
      <c r="K37" s="98" t="s">
        <v>704</v>
      </c>
      <c r="L37" s="74"/>
      <c r="M37" s="74"/>
      <c r="N37" s="74"/>
      <c r="O37" s="98" t="s">
        <v>298</v>
      </c>
      <c r="P37" s="74"/>
      <c r="Q37" s="74"/>
      <c r="R37" s="74"/>
      <c r="S37" s="74"/>
      <c r="T37" s="74"/>
    </row>
    <row r="38" spans="1:20" ht="16.5" customHeight="1">
      <c r="A38" s="110" t="s">
        <v>473</v>
      </c>
      <c r="B38" s="110" t="s">
        <v>77</v>
      </c>
      <c r="C38" s="110"/>
      <c r="D38" s="110"/>
      <c r="E38" s="110" t="s">
        <v>443</v>
      </c>
      <c r="F38" s="111" t="s">
        <v>296</v>
      </c>
      <c r="G38" s="111">
        <v>1</v>
      </c>
      <c r="H38" s="98"/>
      <c r="I38" s="98" t="s">
        <v>727</v>
      </c>
      <c r="J38" s="98" t="s">
        <v>722</v>
      </c>
      <c r="K38" s="98" t="s">
        <v>704</v>
      </c>
      <c r="L38" s="74"/>
      <c r="M38" s="74"/>
      <c r="N38" s="74"/>
      <c r="O38" s="98" t="s">
        <v>298</v>
      </c>
      <c r="P38" s="74"/>
      <c r="Q38" s="74"/>
      <c r="R38" s="74"/>
      <c r="S38" s="74"/>
      <c r="T38" s="74"/>
    </row>
    <row r="39" spans="1:20" ht="16.5" customHeight="1">
      <c r="A39" s="110" t="s">
        <v>478</v>
      </c>
      <c r="B39" s="110" t="s">
        <v>77</v>
      </c>
      <c r="C39" s="110"/>
      <c r="D39" s="110"/>
      <c r="E39" s="110" t="s">
        <v>728</v>
      </c>
      <c r="F39" s="111" t="s">
        <v>296</v>
      </c>
      <c r="G39" s="111">
        <v>1</v>
      </c>
      <c r="H39" s="98"/>
      <c r="I39" s="98" t="s">
        <v>231</v>
      </c>
      <c r="J39" s="98" t="s">
        <v>722</v>
      </c>
      <c r="K39" s="98" t="s">
        <v>704</v>
      </c>
      <c r="L39" s="74"/>
      <c r="M39" s="74"/>
      <c r="N39" s="74"/>
      <c r="O39" s="98" t="s">
        <v>298</v>
      </c>
      <c r="P39" s="74"/>
      <c r="Q39" s="74"/>
      <c r="R39" s="74"/>
      <c r="S39" s="74"/>
      <c r="T39" s="74"/>
    </row>
    <row r="40" spans="1:20" ht="16.5" customHeight="1">
      <c r="A40" s="110" t="s">
        <v>116</v>
      </c>
      <c r="B40" s="110" t="s">
        <v>77</v>
      </c>
      <c r="C40" s="110"/>
      <c r="D40" s="110"/>
      <c r="E40" s="110" t="s">
        <v>728</v>
      </c>
      <c r="F40" s="111" t="s">
        <v>296</v>
      </c>
      <c r="G40" s="111">
        <v>1</v>
      </c>
      <c r="H40" s="98"/>
      <c r="I40" s="98" t="s">
        <v>119</v>
      </c>
      <c r="J40" s="98" t="s">
        <v>722</v>
      </c>
      <c r="K40" s="98" t="s">
        <v>704</v>
      </c>
      <c r="L40" s="74"/>
      <c r="M40" s="74"/>
      <c r="N40" s="74"/>
      <c r="O40" s="98" t="s">
        <v>298</v>
      </c>
      <c r="P40" s="74"/>
      <c r="Q40" s="74"/>
      <c r="R40" s="74"/>
      <c r="S40" s="74"/>
      <c r="T40" s="74"/>
    </row>
    <row r="41" spans="1:20" ht="16.5" customHeight="1">
      <c r="A41" s="110" t="s">
        <v>265</v>
      </c>
      <c r="B41" s="110" t="s">
        <v>77</v>
      </c>
      <c r="C41" s="110"/>
      <c r="D41" s="110"/>
      <c r="E41" s="110" t="s">
        <v>728</v>
      </c>
      <c r="F41" s="111" t="s">
        <v>296</v>
      </c>
      <c r="G41" s="111">
        <v>1</v>
      </c>
      <c r="H41" s="98"/>
      <c r="I41" s="98" t="s">
        <v>729</v>
      </c>
      <c r="J41" s="98" t="s">
        <v>730</v>
      </c>
      <c r="K41" s="98" t="s">
        <v>704</v>
      </c>
      <c r="L41" s="74"/>
      <c r="M41" s="74"/>
      <c r="N41" s="74"/>
      <c r="O41" s="98" t="s">
        <v>298</v>
      </c>
      <c r="P41" s="74"/>
      <c r="Q41" s="74"/>
      <c r="R41" s="74"/>
      <c r="S41" s="74"/>
      <c r="T41" s="74"/>
    </row>
    <row r="42" spans="1:20" ht="16.5" customHeight="1">
      <c r="A42" s="110" t="s">
        <v>257</v>
      </c>
      <c r="B42" s="110" t="s">
        <v>77</v>
      </c>
      <c r="C42" s="110"/>
      <c r="D42" s="110"/>
      <c r="E42" s="110" t="s">
        <v>373</v>
      </c>
      <c r="F42" s="111" t="s">
        <v>296</v>
      </c>
      <c r="G42" s="111">
        <v>1</v>
      </c>
      <c r="H42" s="98"/>
      <c r="I42" s="98" t="s">
        <v>632</v>
      </c>
      <c r="J42" s="98" t="s">
        <v>633</v>
      </c>
      <c r="K42" s="98" t="s">
        <v>704</v>
      </c>
      <c r="L42" s="74"/>
      <c r="M42" s="74"/>
      <c r="N42" s="74"/>
      <c r="O42" s="98" t="s">
        <v>298</v>
      </c>
      <c r="P42" s="74"/>
      <c r="Q42" s="74"/>
      <c r="R42" s="74"/>
      <c r="S42" s="74"/>
      <c r="T42" s="74"/>
    </row>
    <row r="43" spans="1:20" ht="16.5" customHeight="1">
      <c r="A43" s="110" t="s">
        <v>258</v>
      </c>
      <c r="B43" s="110" t="s">
        <v>77</v>
      </c>
      <c r="C43" s="110"/>
      <c r="D43" s="110"/>
      <c r="E43" s="110"/>
      <c r="F43" s="111" t="s">
        <v>296</v>
      </c>
      <c r="G43" s="111">
        <v>1</v>
      </c>
      <c r="H43" s="98"/>
      <c r="I43" s="98"/>
      <c r="J43" s="98"/>
      <c r="K43" s="98"/>
      <c r="L43" s="74"/>
      <c r="M43" s="74"/>
      <c r="N43" s="74"/>
      <c r="O43" s="98" t="s">
        <v>564</v>
      </c>
      <c r="P43" s="74"/>
      <c r="Q43" s="74"/>
      <c r="R43" s="74"/>
      <c r="S43" s="74"/>
      <c r="T43" s="74"/>
    </row>
    <row r="44" spans="1:20" ht="16.5" customHeight="1">
      <c r="A44" s="110" t="s">
        <v>434</v>
      </c>
      <c r="B44" s="110" t="s">
        <v>77</v>
      </c>
      <c r="C44" s="110"/>
      <c r="D44" s="110"/>
      <c r="E44" s="110"/>
      <c r="F44" s="111" t="s">
        <v>296</v>
      </c>
      <c r="G44" s="111">
        <v>1</v>
      </c>
      <c r="H44" s="98"/>
      <c r="I44" s="98"/>
      <c r="J44" s="98"/>
      <c r="K44" s="98"/>
      <c r="L44" s="74"/>
      <c r="M44" s="74"/>
      <c r="N44" s="74"/>
      <c r="O44" s="98" t="s">
        <v>564</v>
      </c>
      <c r="P44" s="74"/>
      <c r="Q44" s="74"/>
      <c r="R44" s="74"/>
      <c r="S44" s="74"/>
      <c r="T44" s="74"/>
    </row>
    <row r="45" spans="1:20" ht="16.5" customHeight="1">
      <c r="A45" s="110" t="s">
        <v>387</v>
      </c>
      <c r="B45" s="110" t="s">
        <v>77</v>
      </c>
      <c r="C45" s="110"/>
      <c r="D45" s="110"/>
      <c r="E45" s="110"/>
      <c r="F45" s="111" t="s">
        <v>296</v>
      </c>
      <c r="G45" s="111">
        <v>1</v>
      </c>
      <c r="H45" s="98"/>
      <c r="I45" s="98"/>
      <c r="J45" s="98"/>
      <c r="K45" s="98"/>
      <c r="L45" s="74"/>
      <c r="M45" s="74"/>
      <c r="N45" s="74"/>
      <c r="O45" s="98" t="s">
        <v>564</v>
      </c>
      <c r="P45" s="74"/>
      <c r="Q45" s="74"/>
      <c r="R45" s="74"/>
      <c r="S45" s="74"/>
      <c r="T45" s="74"/>
    </row>
    <row r="46" spans="1:20" ht="16.5" customHeight="1">
      <c r="A46" s="110" t="s">
        <v>731</v>
      </c>
      <c r="B46" s="110" t="s">
        <v>77</v>
      </c>
      <c r="C46" s="110"/>
      <c r="D46" s="110"/>
      <c r="E46" s="110"/>
      <c r="F46" s="111" t="s">
        <v>296</v>
      </c>
      <c r="G46" s="111">
        <v>1</v>
      </c>
      <c r="H46" s="98"/>
      <c r="I46" s="98"/>
      <c r="J46" s="98"/>
      <c r="K46" s="98"/>
      <c r="L46" s="74"/>
      <c r="M46" s="74"/>
      <c r="N46" s="74"/>
      <c r="O46" s="98" t="s">
        <v>564</v>
      </c>
      <c r="P46" s="74"/>
      <c r="Q46" s="74"/>
      <c r="R46" s="74"/>
      <c r="S46" s="74"/>
      <c r="T46" s="74"/>
    </row>
    <row r="47" spans="1:20" ht="16.5" customHeight="1">
      <c r="A47" s="110" t="s">
        <v>732</v>
      </c>
      <c r="B47" s="110" t="s">
        <v>77</v>
      </c>
      <c r="C47" s="110"/>
      <c r="D47" s="110"/>
      <c r="E47" s="110"/>
      <c r="F47" s="111" t="s">
        <v>296</v>
      </c>
      <c r="G47" s="111">
        <v>1</v>
      </c>
      <c r="H47" s="98"/>
      <c r="I47" s="98"/>
      <c r="J47" s="98"/>
      <c r="K47" s="98"/>
      <c r="L47" s="74"/>
      <c r="M47" s="74"/>
      <c r="N47" s="74"/>
      <c r="O47" s="98"/>
      <c r="P47" s="74"/>
      <c r="Q47" s="74"/>
      <c r="R47" s="74"/>
      <c r="S47" s="74"/>
      <c r="T47" s="74"/>
    </row>
    <row r="48" spans="1:20" ht="16.5" customHeight="1">
      <c r="A48" s="110" t="s">
        <v>733</v>
      </c>
      <c r="B48" s="110" t="s">
        <v>77</v>
      </c>
      <c r="C48" s="110"/>
      <c r="D48" s="110"/>
      <c r="E48" s="110"/>
      <c r="F48" s="111" t="s">
        <v>296</v>
      </c>
      <c r="G48" s="111">
        <v>1</v>
      </c>
      <c r="H48" s="98"/>
      <c r="I48" s="98"/>
      <c r="J48" s="98"/>
      <c r="K48" s="98"/>
      <c r="L48" s="74"/>
      <c r="M48" s="74"/>
      <c r="N48" s="74"/>
      <c r="O48" s="98"/>
      <c r="P48" s="74"/>
      <c r="Q48" s="74"/>
      <c r="R48" s="74"/>
      <c r="S48" s="74"/>
      <c r="T48" s="74"/>
    </row>
    <row r="49" spans="1:20" ht="16.5" customHeight="1">
      <c r="A49" s="110" t="s">
        <v>734</v>
      </c>
      <c r="B49" s="110" t="s">
        <v>77</v>
      </c>
      <c r="C49" s="110"/>
      <c r="D49" s="110"/>
      <c r="E49" s="110"/>
      <c r="F49" s="111" t="s">
        <v>296</v>
      </c>
      <c r="G49" s="111">
        <v>1</v>
      </c>
      <c r="H49" s="98"/>
      <c r="I49" s="98"/>
      <c r="J49" s="98"/>
      <c r="K49" s="98"/>
      <c r="L49" s="74"/>
      <c r="M49" s="74"/>
      <c r="N49" s="74"/>
      <c r="O49" s="98"/>
      <c r="P49" s="74"/>
      <c r="Q49" s="74"/>
      <c r="R49" s="74"/>
      <c r="S49" s="74"/>
      <c r="T49" s="74"/>
    </row>
    <row r="50" spans="1:20" ht="16.5" customHeight="1">
      <c r="A50" s="110" t="s">
        <v>735</v>
      </c>
      <c r="B50" s="110" t="s">
        <v>77</v>
      </c>
      <c r="C50" s="110"/>
      <c r="D50" s="110"/>
      <c r="E50" s="110"/>
      <c r="F50" s="111" t="s">
        <v>296</v>
      </c>
      <c r="G50" s="111">
        <v>1</v>
      </c>
      <c r="H50" s="98"/>
      <c r="I50" s="98"/>
      <c r="J50" s="98"/>
      <c r="K50" s="98"/>
      <c r="L50" s="74"/>
      <c r="M50" s="74"/>
      <c r="N50" s="74"/>
      <c r="O50" s="98"/>
      <c r="P50" s="74"/>
      <c r="Q50" s="74"/>
      <c r="R50" s="74"/>
      <c r="S50" s="74"/>
      <c r="T50" s="74"/>
    </row>
    <row r="51" spans="1:20" ht="16.5" customHeight="1">
      <c r="A51" s="110" t="s">
        <v>736</v>
      </c>
      <c r="B51" s="110" t="s">
        <v>77</v>
      </c>
      <c r="C51" s="110"/>
      <c r="D51" s="110"/>
      <c r="E51" s="110"/>
      <c r="F51" s="111" t="s">
        <v>296</v>
      </c>
      <c r="G51" s="111">
        <v>1</v>
      </c>
      <c r="H51" s="98"/>
      <c r="I51" s="98"/>
      <c r="J51" s="98"/>
      <c r="K51" s="98"/>
      <c r="L51" s="74"/>
      <c r="M51" s="74"/>
      <c r="N51" s="74"/>
      <c r="O51" s="98"/>
      <c r="P51" s="74"/>
      <c r="Q51" s="74"/>
      <c r="R51" s="74"/>
      <c r="S51" s="74"/>
      <c r="T51" s="74"/>
    </row>
    <row r="52" spans="1:20" ht="16.5" customHeight="1">
      <c r="A52" s="110" t="s">
        <v>737</v>
      </c>
      <c r="B52" s="110" t="s">
        <v>77</v>
      </c>
      <c r="C52" s="110"/>
      <c r="D52" s="110"/>
      <c r="E52" s="110"/>
      <c r="F52" s="111" t="s">
        <v>296</v>
      </c>
      <c r="G52" s="111">
        <v>1</v>
      </c>
      <c r="H52" s="98"/>
      <c r="I52" s="98"/>
      <c r="J52" s="98"/>
      <c r="K52" s="98"/>
      <c r="L52" s="74"/>
      <c r="M52" s="74"/>
      <c r="N52" s="74"/>
      <c r="O52" s="98"/>
      <c r="P52" s="74"/>
      <c r="Q52" s="74"/>
      <c r="R52" s="74"/>
      <c r="S52" s="74"/>
      <c r="T52" s="74"/>
    </row>
    <row r="53" spans="1:20" ht="16.5" customHeight="1">
      <c r="A53" s="110" t="s">
        <v>738</v>
      </c>
      <c r="B53" s="110" t="s">
        <v>77</v>
      </c>
      <c r="C53" s="110"/>
      <c r="D53" s="110"/>
      <c r="E53" s="110"/>
      <c r="F53" s="111" t="s">
        <v>296</v>
      </c>
      <c r="G53" s="111">
        <v>1</v>
      </c>
      <c r="H53" s="98"/>
      <c r="I53" s="98"/>
      <c r="J53" s="98"/>
      <c r="K53" s="98"/>
      <c r="L53" s="74"/>
      <c r="M53" s="74"/>
      <c r="N53" s="74"/>
      <c r="O53" s="98"/>
      <c r="P53" s="74"/>
      <c r="Q53" s="74"/>
      <c r="R53" s="74"/>
      <c r="S53" s="74"/>
      <c r="T53" s="74"/>
    </row>
    <row r="54" spans="1:20" ht="16.5" customHeight="1">
      <c r="A54" s="110" t="s">
        <v>739</v>
      </c>
      <c r="B54" s="110" t="s">
        <v>77</v>
      </c>
      <c r="C54" s="110"/>
      <c r="D54" s="110"/>
      <c r="E54" s="110"/>
      <c r="F54" s="111" t="s">
        <v>296</v>
      </c>
      <c r="G54" s="111">
        <v>1</v>
      </c>
      <c r="H54" s="98"/>
      <c r="I54" s="98"/>
      <c r="J54" s="98"/>
      <c r="K54" s="98"/>
      <c r="L54" s="74"/>
      <c r="M54" s="74"/>
      <c r="N54" s="74"/>
      <c r="O54" s="98"/>
      <c r="P54" s="74"/>
      <c r="Q54" s="74"/>
      <c r="R54" s="74"/>
      <c r="S54" s="74"/>
      <c r="T54" s="74"/>
    </row>
    <row r="55" spans="1:20" ht="16.5" customHeight="1">
      <c r="A55" s="110" t="s">
        <v>428</v>
      </c>
      <c r="B55" s="110" t="s">
        <v>77</v>
      </c>
      <c r="C55" s="110"/>
      <c r="D55" s="110"/>
      <c r="E55" s="110"/>
      <c r="F55" s="111" t="s">
        <v>296</v>
      </c>
      <c r="G55" s="111">
        <v>1</v>
      </c>
      <c r="H55" s="98"/>
      <c r="I55" s="98"/>
      <c r="J55" s="98"/>
      <c r="K55" s="98"/>
      <c r="L55" s="74"/>
      <c r="M55" s="74"/>
      <c r="N55" s="74"/>
      <c r="O55" s="98"/>
      <c r="P55" s="74"/>
      <c r="Q55" s="74"/>
      <c r="R55" s="74"/>
      <c r="S55" s="74"/>
      <c r="T55" s="74"/>
    </row>
    <row r="56" spans="1:20" ht="16.5" customHeight="1">
      <c r="A56" s="110" t="s">
        <v>129</v>
      </c>
      <c r="B56" s="110" t="s">
        <v>77</v>
      </c>
      <c r="C56" s="110"/>
      <c r="D56" s="110"/>
      <c r="E56" s="110"/>
      <c r="F56" s="111" t="s">
        <v>296</v>
      </c>
      <c r="G56" s="111">
        <v>1</v>
      </c>
      <c r="H56" s="98"/>
      <c r="I56" s="98"/>
      <c r="J56" s="98"/>
      <c r="K56" s="98"/>
      <c r="L56" s="74"/>
      <c r="M56" s="74"/>
      <c r="N56" s="74"/>
      <c r="O56" s="98"/>
      <c r="P56" s="74"/>
      <c r="Q56" s="74"/>
      <c r="R56" s="74"/>
      <c r="S56" s="74"/>
      <c r="T56" s="74"/>
    </row>
    <row r="57" spans="1:20" ht="16.5" customHeight="1">
      <c r="A57" s="110" t="s">
        <v>740</v>
      </c>
      <c r="B57" s="110" t="s">
        <v>77</v>
      </c>
      <c r="C57" s="110"/>
      <c r="D57" s="110"/>
      <c r="E57" s="110"/>
      <c r="F57" s="111" t="s">
        <v>296</v>
      </c>
      <c r="G57" s="111">
        <v>1</v>
      </c>
      <c r="H57" s="98"/>
      <c r="I57" s="98"/>
      <c r="J57" s="98"/>
      <c r="K57" s="98"/>
      <c r="L57" s="74"/>
      <c r="M57" s="74"/>
      <c r="N57" s="74"/>
      <c r="O57" s="98"/>
      <c r="P57" s="74"/>
      <c r="Q57" s="74"/>
      <c r="R57" s="74"/>
      <c r="S57" s="74"/>
      <c r="T57" s="74"/>
    </row>
    <row r="58" spans="1:20" ht="16.5" customHeight="1">
      <c r="A58" s="110" t="s">
        <v>741</v>
      </c>
      <c r="B58" s="110" t="s">
        <v>77</v>
      </c>
      <c r="C58" s="110"/>
      <c r="D58" s="110"/>
      <c r="E58" s="110"/>
      <c r="F58" s="111" t="s">
        <v>296</v>
      </c>
      <c r="G58" s="111">
        <v>1</v>
      </c>
      <c r="H58" s="98"/>
      <c r="I58" s="98"/>
      <c r="J58" s="98"/>
      <c r="K58" s="98"/>
      <c r="L58" s="74"/>
      <c r="M58" s="74"/>
      <c r="N58" s="74"/>
      <c r="O58" s="98"/>
      <c r="P58" s="74"/>
      <c r="Q58" s="74"/>
      <c r="R58" s="74"/>
      <c r="S58" s="74"/>
      <c r="T58" s="74"/>
    </row>
    <row r="59" spans="1:20" ht="16.5" customHeight="1">
      <c r="A59" s="110" t="s">
        <v>134</v>
      </c>
      <c r="B59" s="110" t="s">
        <v>77</v>
      </c>
      <c r="C59" s="110"/>
      <c r="D59" s="110"/>
      <c r="E59" s="110"/>
      <c r="F59" s="111" t="s">
        <v>296</v>
      </c>
      <c r="G59" s="111">
        <v>1</v>
      </c>
      <c r="H59" s="98"/>
      <c r="I59" s="98"/>
      <c r="J59" s="98"/>
      <c r="K59" s="98"/>
      <c r="L59" s="74"/>
      <c r="M59" s="74"/>
      <c r="N59" s="74"/>
      <c r="O59" s="98"/>
      <c r="P59" s="74"/>
      <c r="Q59" s="74"/>
      <c r="R59" s="74"/>
      <c r="S59" s="74"/>
      <c r="T59" s="74"/>
    </row>
    <row r="60" spans="1:20" ht="15">
      <c r="A60" s="108" t="s">
        <v>539</v>
      </c>
      <c r="B60" s="108" t="s">
        <v>78</v>
      </c>
      <c r="C60" s="108" t="s">
        <v>299</v>
      </c>
      <c r="D60" s="108" t="s">
        <v>742</v>
      </c>
      <c r="E60" s="108" t="s">
        <v>705</v>
      </c>
      <c r="F60" s="109" t="s">
        <v>296</v>
      </c>
      <c r="G60" s="109">
        <v>1</v>
      </c>
      <c r="H60" s="98"/>
      <c r="I60" s="98" t="s">
        <v>115</v>
      </c>
      <c r="J60" s="98" t="s">
        <v>706</v>
      </c>
      <c r="K60" s="98" t="s">
        <v>704</v>
      </c>
      <c r="L60" s="112"/>
      <c r="M60" s="113">
        <v>45877</v>
      </c>
      <c r="N60" s="74"/>
      <c r="O60" s="98" t="s">
        <v>298</v>
      </c>
      <c r="P60" s="74"/>
      <c r="Q60" s="74"/>
      <c r="R60" s="74"/>
      <c r="S60" s="74"/>
      <c r="T60" s="74"/>
    </row>
    <row r="61" spans="1:20" ht="15">
      <c r="A61" s="108" t="s">
        <v>506</v>
      </c>
      <c r="B61" s="108" t="s">
        <v>78</v>
      </c>
      <c r="C61" s="108" t="s">
        <v>299</v>
      </c>
      <c r="D61" s="108" t="s">
        <v>742</v>
      </c>
      <c r="E61" s="108" t="s">
        <v>492</v>
      </c>
      <c r="F61" s="109" t="s">
        <v>296</v>
      </c>
      <c r="G61" s="109">
        <v>1</v>
      </c>
      <c r="H61" s="98"/>
      <c r="I61" s="98" t="s">
        <v>707</v>
      </c>
      <c r="J61" s="98" t="s">
        <v>637</v>
      </c>
      <c r="K61" s="98" t="s">
        <v>704</v>
      </c>
      <c r="L61" s="112"/>
      <c r="M61" s="113">
        <v>45877</v>
      </c>
      <c r="N61" s="74"/>
      <c r="O61" s="98" t="s">
        <v>298</v>
      </c>
      <c r="P61" s="74"/>
      <c r="Q61" s="74"/>
      <c r="R61" s="74"/>
      <c r="S61" s="74"/>
      <c r="T61" s="74"/>
    </row>
    <row r="62" spans="1:20" ht="15">
      <c r="A62" s="108" t="s">
        <v>516</v>
      </c>
      <c r="B62" s="108" t="s">
        <v>78</v>
      </c>
      <c r="C62" s="108" t="s">
        <v>299</v>
      </c>
      <c r="D62" s="108" t="s">
        <v>743</v>
      </c>
      <c r="E62" s="108" t="s">
        <v>492</v>
      </c>
      <c r="F62" s="109" t="s">
        <v>296</v>
      </c>
      <c r="G62" s="109">
        <v>1</v>
      </c>
      <c r="H62" s="98"/>
      <c r="I62" s="98" t="s">
        <v>209</v>
      </c>
      <c r="J62" s="98" t="s">
        <v>637</v>
      </c>
      <c r="K62" s="98" t="s">
        <v>704</v>
      </c>
      <c r="L62" s="112"/>
      <c r="M62" s="113">
        <v>45877</v>
      </c>
      <c r="N62" s="74"/>
      <c r="O62" s="98" t="s">
        <v>298</v>
      </c>
      <c r="P62" s="74"/>
      <c r="Q62" s="74"/>
      <c r="R62" s="74"/>
      <c r="S62" s="74"/>
      <c r="T62" s="74"/>
    </row>
    <row r="63" spans="1:20" ht="15">
      <c r="A63" s="108" t="s">
        <v>522</v>
      </c>
      <c r="B63" s="108" t="s">
        <v>78</v>
      </c>
      <c r="C63" s="108" t="s">
        <v>299</v>
      </c>
      <c r="D63" s="108" t="s">
        <v>744</v>
      </c>
      <c r="E63" s="108" t="s">
        <v>492</v>
      </c>
      <c r="F63" s="109" t="s">
        <v>296</v>
      </c>
      <c r="G63" s="109">
        <v>1</v>
      </c>
      <c r="H63" s="98"/>
      <c r="I63" s="98" t="s">
        <v>708</v>
      </c>
      <c r="J63" s="98" t="s">
        <v>637</v>
      </c>
      <c r="K63" s="98" t="s">
        <v>704</v>
      </c>
      <c r="L63" s="112"/>
      <c r="M63" s="113">
        <v>45877</v>
      </c>
      <c r="N63" s="74"/>
      <c r="O63" s="98" t="s">
        <v>298</v>
      </c>
      <c r="P63" s="74"/>
      <c r="Q63" s="74"/>
      <c r="R63" s="74"/>
      <c r="S63" s="74"/>
      <c r="T63" s="74"/>
    </row>
    <row r="64" spans="1:20" ht="15">
      <c r="A64" s="108" t="s">
        <v>500</v>
      </c>
      <c r="B64" s="108" t="s">
        <v>78</v>
      </c>
      <c r="C64" s="108" t="s">
        <v>299</v>
      </c>
      <c r="D64" s="108" t="s">
        <v>745</v>
      </c>
      <c r="E64" s="108" t="s">
        <v>492</v>
      </c>
      <c r="F64" s="109" t="s">
        <v>296</v>
      </c>
      <c r="G64" s="109">
        <v>1</v>
      </c>
      <c r="H64" s="98"/>
      <c r="I64" s="98" t="s">
        <v>709</v>
      </c>
      <c r="J64" s="98" t="s">
        <v>637</v>
      </c>
      <c r="K64" s="98" t="s">
        <v>704</v>
      </c>
      <c r="L64" s="112"/>
      <c r="M64" s="113">
        <v>45877</v>
      </c>
      <c r="N64" s="74"/>
      <c r="O64" s="98" t="s">
        <v>298</v>
      </c>
      <c r="P64" s="74"/>
      <c r="Q64" s="74"/>
      <c r="R64" s="74"/>
      <c r="S64" s="74"/>
      <c r="T64" s="74"/>
    </row>
    <row r="65" spans="1:20" ht="15">
      <c r="A65" s="108" t="s">
        <v>494</v>
      </c>
      <c r="B65" s="108" t="s">
        <v>78</v>
      </c>
      <c r="C65" s="108" t="s">
        <v>299</v>
      </c>
      <c r="D65" s="108" t="s">
        <v>746</v>
      </c>
      <c r="E65" s="108" t="s">
        <v>492</v>
      </c>
      <c r="F65" s="109" t="s">
        <v>296</v>
      </c>
      <c r="G65" s="109">
        <v>1</v>
      </c>
      <c r="H65" s="98"/>
      <c r="I65" s="98" t="s">
        <v>710</v>
      </c>
      <c r="J65" s="98" t="s">
        <v>637</v>
      </c>
      <c r="K65" s="98" t="s">
        <v>704</v>
      </c>
      <c r="L65" s="112"/>
      <c r="M65" s="113">
        <v>45877</v>
      </c>
      <c r="N65" s="74"/>
      <c r="O65" s="98" t="s">
        <v>298</v>
      </c>
      <c r="P65" s="74"/>
      <c r="Q65" s="74"/>
      <c r="R65" s="74"/>
      <c r="S65" s="74"/>
      <c r="T65" s="74"/>
    </row>
    <row r="66" spans="1:20" ht="15">
      <c r="A66" s="108" t="s">
        <v>602</v>
      </c>
      <c r="B66" s="108" t="s">
        <v>78</v>
      </c>
      <c r="C66" s="108" t="s">
        <v>299</v>
      </c>
      <c r="D66" s="108" t="s">
        <v>744</v>
      </c>
      <c r="E66" s="108" t="s">
        <v>295</v>
      </c>
      <c r="F66" s="109" t="s">
        <v>296</v>
      </c>
      <c r="G66" s="109">
        <v>1</v>
      </c>
      <c r="H66" s="98"/>
      <c r="I66" s="98" t="s">
        <v>711</v>
      </c>
      <c r="J66" s="98" t="s">
        <v>629</v>
      </c>
      <c r="K66" s="98" t="s">
        <v>704</v>
      </c>
      <c r="L66" s="112"/>
      <c r="M66" s="113">
        <v>45877</v>
      </c>
      <c r="N66" s="74"/>
      <c r="O66" s="98" t="s">
        <v>298</v>
      </c>
      <c r="P66" s="74"/>
      <c r="Q66" s="74"/>
      <c r="R66" s="74"/>
      <c r="S66" s="74"/>
      <c r="T66" s="74"/>
    </row>
    <row r="67" spans="1:20" ht="15">
      <c r="A67" s="108" t="s">
        <v>593</v>
      </c>
      <c r="B67" s="108" t="s">
        <v>78</v>
      </c>
      <c r="C67" s="108" t="s">
        <v>299</v>
      </c>
      <c r="D67" s="108" t="s">
        <v>744</v>
      </c>
      <c r="E67" s="108" t="s">
        <v>295</v>
      </c>
      <c r="F67" s="109" t="s">
        <v>296</v>
      </c>
      <c r="G67" s="109">
        <v>1</v>
      </c>
      <c r="H67" s="98"/>
      <c r="I67" s="99" t="s">
        <v>125</v>
      </c>
      <c r="J67" s="98" t="s">
        <v>629</v>
      </c>
      <c r="K67" s="98" t="s">
        <v>704</v>
      </c>
      <c r="L67" s="74"/>
      <c r="M67" s="74" t="s">
        <v>747</v>
      </c>
      <c r="N67" s="74"/>
      <c r="O67" s="98" t="s">
        <v>298</v>
      </c>
      <c r="P67" s="74"/>
      <c r="Q67" s="74"/>
      <c r="R67" s="74"/>
      <c r="S67" s="74"/>
      <c r="T67" s="74"/>
    </row>
    <row r="68" spans="1:20" ht="15">
      <c r="A68" s="108" t="s">
        <v>339</v>
      </c>
      <c r="B68" s="108" t="s">
        <v>78</v>
      </c>
      <c r="C68" s="108"/>
      <c r="D68" s="108"/>
      <c r="E68" s="108" t="s">
        <v>295</v>
      </c>
      <c r="F68" s="109" t="s">
        <v>296</v>
      </c>
      <c r="G68" s="109">
        <v>1</v>
      </c>
      <c r="H68" s="98"/>
      <c r="I68" s="98" t="s">
        <v>127</v>
      </c>
      <c r="J68" s="98" t="s">
        <v>629</v>
      </c>
      <c r="K68" s="98" t="s">
        <v>704</v>
      </c>
      <c r="L68" s="74"/>
      <c r="M68" s="113">
        <v>45877</v>
      </c>
      <c r="N68" s="74"/>
      <c r="O68" s="98" t="s">
        <v>298</v>
      </c>
      <c r="P68" s="74"/>
      <c r="Q68" s="74"/>
      <c r="R68" s="74"/>
      <c r="S68" s="74"/>
      <c r="T68" s="74"/>
    </row>
    <row r="69" spans="1:20" ht="15">
      <c r="A69" s="108" t="s">
        <v>328</v>
      </c>
      <c r="B69" s="108" t="s">
        <v>78</v>
      </c>
      <c r="C69" s="108"/>
      <c r="D69" s="108"/>
      <c r="E69" s="108" t="s">
        <v>295</v>
      </c>
      <c r="F69" s="109" t="s">
        <v>296</v>
      </c>
      <c r="G69" s="109">
        <v>1</v>
      </c>
      <c r="H69" s="98"/>
      <c r="I69" s="98" t="s">
        <v>712</v>
      </c>
      <c r="J69" s="98" t="s">
        <v>629</v>
      </c>
      <c r="K69" s="98" t="s">
        <v>704</v>
      </c>
      <c r="L69" s="74"/>
      <c r="M69" s="113">
        <v>45877</v>
      </c>
      <c r="N69" s="74"/>
      <c r="O69" s="98"/>
      <c r="P69" s="74"/>
      <c r="Q69" s="74"/>
      <c r="R69" s="74"/>
      <c r="S69" s="74"/>
      <c r="T69" s="74"/>
    </row>
    <row r="70" spans="1:20" ht="15">
      <c r="A70" s="108" t="s">
        <v>336</v>
      </c>
      <c r="B70" s="108" t="s">
        <v>78</v>
      </c>
      <c r="C70" s="108"/>
      <c r="D70" s="108"/>
      <c r="E70" s="108" t="s">
        <v>295</v>
      </c>
      <c r="F70" s="109" t="s">
        <v>296</v>
      </c>
      <c r="G70" s="109">
        <v>1</v>
      </c>
      <c r="H70" s="98"/>
      <c r="I70" s="98" t="s">
        <v>713</v>
      </c>
      <c r="J70" s="98" t="s">
        <v>629</v>
      </c>
      <c r="K70" s="98" t="s">
        <v>704</v>
      </c>
      <c r="L70" s="74"/>
      <c r="M70" s="113">
        <v>45877</v>
      </c>
      <c r="N70" s="74"/>
      <c r="O70" s="98" t="s">
        <v>298</v>
      </c>
      <c r="P70" s="74"/>
      <c r="Q70" s="74"/>
      <c r="R70" s="74"/>
      <c r="S70" s="74"/>
      <c r="T70" s="74"/>
    </row>
    <row r="71" spans="1:20" ht="15">
      <c r="A71" s="108" t="s">
        <v>350</v>
      </c>
      <c r="B71" s="108" t="s">
        <v>78</v>
      </c>
      <c r="C71" s="108"/>
      <c r="D71" s="108"/>
      <c r="E71" s="108" t="s">
        <v>345</v>
      </c>
      <c r="F71" s="109" t="s">
        <v>296</v>
      </c>
      <c r="G71" s="109">
        <v>1</v>
      </c>
      <c r="H71" s="98"/>
      <c r="I71" s="98" t="s">
        <v>195</v>
      </c>
      <c r="J71" s="98" t="s">
        <v>635</v>
      </c>
      <c r="K71" s="98" t="s">
        <v>704</v>
      </c>
      <c r="L71" s="74"/>
      <c r="M71" s="113">
        <v>45877</v>
      </c>
      <c r="N71" s="74"/>
      <c r="O71" s="98" t="s">
        <v>298</v>
      </c>
      <c r="P71" s="74"/>
      <c r="Q71" s="74"/>
      <c r="R71" s="74"/>
      <c r="S71" s="74"/>
      <c r="T71" s="74"/>
    </row>
    <row r="72" spans="1:20" ht="15">
      <c r="A72" s="108" t="s">
        <v>355</v>
      </c>
      <c r="B72" s="108" t="s">
        <v>78</v>
      </c>
      <c r="C72" s="108"/>
      <c r="D72" s="108"/>
      <c r="E72" s="108" t="s">
        <v>345</v>
      </c>
      <c r="F72" s="109" t="s">
        <v>296</v>
      </c>
      <c r="G72" s="109">
        <v>1</v>
      </c>
      <c r="H72" s="98"/>
      <c r="I72" s="98" t="s">
        <v>201</v>
      </c>
      <c r="J72" s="98" t="s">
        <v>635</v>
      </c>
      <c r="K72" s="98" t="s">
        <v>704</v>
      </c>
      <c r="L72" s="74"/>
      <c r="M72" s="113">
        <v>45877</v>
      </c>
      <c r="N72" s="74"/>
      <c r="O72" s="98" t="s">
        <v>298</v>
      </c>
      <c r="P72" s="74"/>
      <c r="Q72" s="74"/>
      <c r="R72" s="74"/>
      <c r="S72" s="74"/>
      <c r="T72" s="74"/>
    </row>
    <row r="73" spans="1:20" ht="15">
      <c r="A73" s="108" t="s">
        <v>525</v>
      </c>
      <c r="B73" s="108" t="s">
        <v>78</v>
      </c>
      <c r="C73" s="108"/>
      <c r="D73" s="108"/>
      <c r="E73" s="108" t="s">
        <v>705</v>
      </c>
      <c r="F73" s="109" t="s">
        <v>296</v>
      </c>
      <c r="G73" s="109">
        <v>1</v>
      </c>
      <c r="H73" s="98"/>
      <c r="I73" s="98" t="s">
        <v>748</v>
      </c>
      <c r="J73" s="98" t="s">
        <v>706</v>
      </c>
      <c r="K73" s="98" t="s">
        <v>704</v>
      </c>
      <c r="L73" s="74"/>
      <c r="M73" s="113">
        <v>45877</v>
      </c>
      <c r="N73" s="74"/>
      <c r="O73" s="98" t="s">
        <v>298</v>
      </c>
      <c r="P73" s="74"/>
      <c r="Q73" s="74"/>
      <c r="R73" s="74"/>
      <c r="S73" s="74"/>
      <c r="T73" s="74"/>
    </row>
    <row r="74" spans="1:20" ht="15">
      <c r="A74" s="108" t="s">
        <v>375</v>
      </c>
      <c r="B74" s="108" t="s">
        <v>78</v>
      </c>
      <c r="C74" s="108"/>
      <c r="D74" s="108"/>
      <c r="E74" s="108" t="s">
        <v>373</v>
      </c>
      <c r="F74" s="109" t="s">
        <v>296</v>
      </c>
      <c r="G74" s="109">
        <v>1</v>
      </c>
      <c r="H74" s="98"/>
      <c r="I74" s="98" t="s">
        <v>161</v>
      </c>
      <c r="J74" s="98" t="s">
        <v>633</v>
      </c>
      <c r="K74" s="98" t="s">
        <v>704</v>
      </c>
      <c r="L74" s="74"/>
      <c r="M74" s="113">
        <v>45877</v>
      </c>
      <c r="N74" s="74"/>
      <c r="O74" s="98" t="s">
        <v>298</v>
      </c>
      <c r="P74" s="74"/>
      <c r="Q74" s="74"/>
      <c r="R74" s="74"/>
      <c r="S74" s="74"/>
      <c r="T74" s="74"/>
    </row>
    <row r="75" spans="1:20" ht="15">
      <c r="A75" s="108" t="s">
        <v>583</v>
      </c>
      <c r="B75" s="108" t="s">
        <v>78</v>
      </c>
      <c r="C75" s="108"/>
      <c r="D75" s="108"/>
      <c r="E75" s="108" t="s">
        <v>373</v>
      </c>
      <c r="F75" s="109" t="s">
        <v>296</v>
      </c>
      <c r="G75" s="109">
        <v>1</v>
      </c>
      <c r="H75" s="98"/>
      <c r="I75" s="98" t="s">
        <v>715</v>
      </c>
      <c r="J75" s="98" t="s">
        <v>633</v>
      </c>
      <c r="K75" s="98" t="s">
        <v>704</v>
      </c>
      <c r="L75" s="74"/>
      <c r="M75" s="113">
        <v>45877</v>
      </c>
      <c r="N75" s="74"/>
      <c r="O75" s="98" t="s">
        <v>298</v>
      </c>
      <c r="P75" s="74"/>
      <c r="Q75" s="74"/>
      <c r="R75" s="74"/>
      <c r="S75" s="74"/>
      <c r="T75" s="74"/>
    </row>
    <row r="76" spans="1:20" ht="15">
      <c r="A76" s="108" t="s">
        <v>395</v>
      </c>
      <c r="B76" s="108" t="s">
        <v>78</v>
      </c>
      <c r="C76" s="108"/>
      <c r="D76" s="108"/>
      <c r="E76" s="108" t="s">
        <v>373</v>
      </c>
      <c r="F76" s="109" t="s">
        <v>296</v>
      </c>
      <c r="G76" s="109">
        <v>1</v>
      </c>
      <c r="H76" s="98"/>
      <c r="I76" s="98" t="s">
        <v>632</v>
      </c>
      <c r="J76" s="98" t="s">
        <v>633</v>
      </c>
      <c r="K76" s="98" t="s">
        <v>704</v>
      </c>
      <c r="L76" s="74"/>
      <c r="M76" s="113">
        <v>45877</v>
      </c>
      <c r="N76" s="74"/>
      <c r="O76" s="98" t="s">
        <v>298</v>
      </c>
      <c r="P76" s="74"/>
      <c r="Q76" s="74"/>
      <c r="R76" s="74"/>
      <c r="S76" s="74"/>
      <c r="T76" s="74"/>
    </row>
    <row r="77" spans="1:20" ht="15">
      <c r="A77" s="108" t="s">
        <v>547</v>
      </c>
      <c r="B77" s="108" t="s">
        <v>78</v>
      </c>
      <c r="C77" s="108"/>
      <c r="D77" s="108"/>
      <c r="E77" s="108" t="s">
        <v>408</v>
      </c>
      <c r="F77" s="109" t="s">
        <v>296</v>
      </c>
      <c r="G77" s="109">
        <v>1</v>
      </c>
      <c r="H77" s="98"/>
      <c r="I77" s="98" t="s">
        <v>135</v>
      </c>
      <c r="J77" s="98" t="s">
        <v>717</v>
      </c>
      <c r="K77" s="98" t="s">
        <v>704</v>
      </c>
      <c r="L77" s="74"/>
      <c r="M77" s="113">
        <v>45877</v>
      </c>
      <c r="N77" s="74"/>
      <c r="O77" s="98" t="s">
        <v>298</v>
      </c>
      <c r="P77" s="74"/>
      <c r="Q77" s="74"/>
      <c r="R77" s="74"/>
      <c r="S77" s="74"/>
      <c r="T77" s="74"/>
    </row>
    <row r="78" spans="1:20" ht="15">
      <c r="A78" s="108" t="s">
        <v>422</v>
      </c>
      <c r="B78" s="108" t="s">
        <v>78</v>
      </c>
      <c r="C78" s="108"/>
      <c r="D78" s="108"/>
      <c r="E78" s="108" t="s">
        <v>408</v>
      </c>
      <c r="F78" s="109" t="s">
        <v>296</v>
      </c>
      <c r="G78" s="109">
        <v>1</v>
      </c>
      <c r="H78" s="98"/>
      <c r="I78" s="98" t="s">
        <v>718</v>
      </c>
      <c r="J78" s="98" t="s">
        <v>717</v>
      </c>
      <c r="K78" s="98" t="s">
        <v>704</v>
      </c>
      <c r="L78" s="74"/>
      <c r="M78" s="113">
        <v>45877</v>
      </c>
      <c r="N78" s="74"/>
      <c r="O78" s="98" t="s">
        <v>298</v>
      </c>
      <c r="P78" s="74"/>
      <c r="Q78" s="74"/>
      <c r="R78" s="74"/>
      <c r="S78" s="74"/>
      <c r="T78" s="74"/>
    </row>
    <row r="79" spans="1:20" ht="15">
      <c r="A79" s="108" t="s">
        <v>426</v>
      </c>
      <c r="B79" s="108" t="s">
        <v>78</v>
      </c>
      <c r="C79" s="108"/>
      <c r="D79" s="108"/>
      <c r="E79" s="108" t="s">
        <v>408</v>
      </c>
      <c r="F79" s="109" t="s">
        <v>296</v>
      </c>
      <c r="G79" s="109">
        <v>1</v>
      </c>
      <c r="H79" s="98"/>
      <c r="I79" s="98" t="s">
        <v>719</v>
      </c>
      <c r="J79" s="98" t="s">
        <v>717</v>
      </c>
      <c r="K79" s="98" t="s">
        <v>704</v>
      </c>
      <c r="L79" s="74"/>
      <c r="M79" s="113">
        <v>45877</v>
      </c>
      <c r="N79" s="74"/>
      <c r="O79" s="98" t="s">
        <v>298</v>
      </c>
      <c r="P79" s="74"/>
      <c r="Q79" s="74"/>
      <c r="R79" s="74"/>
      <c r="S79" s="74"/>
      <c r="T79" s="74"/>
    </row>
    <row r="80" spans="1:20" ht="15">
      <c r="A80" s="108" t="s">
        <v>410</v>
      </c>
      <c r="B80" s="108" t="s">
        <v>78</v>
      </c>
      <c r="C80" s="108"/>
      <c r="D80" s="108"/>
      <c r="E80" s="108" t="s">
        <v>408</v>
      </c>
      <c r="F80" s="109" t="s">
        <v>296</v>
      </c>
      <c r="G80" s="109">
        <v>1</v>
      </c>
      <c r="H80" s="98"/>
      <c r="I80" s="98" t="s">
        <v>720</v>
      </c>
      <c r="J80" s="98" t="s">
        <v>717</v>
      </c>
      <c r="K80" s="98" t="s">
        <v>704</v>
      </c>
      <c r="L80" s="74"/>
      <c r="M80" s="113">
        <v>45877</v>
      </c>
      <c r="N80" s="74"/>
      <c r="O80" s="98" t="s">
        <v>298</v>
      </c>
      <c r="P80" s="74"/>
      <c r="Q80" s="74"/>
      <c r="R80" s="74"/>
      <c r="S80" s="74"/>
      <c r="T80" s="74"/>
    </row>
    <row r="81" spans="1:20" ht="15">
      <c r="A81" s="108" t="s">
        <v>532</v>
      </c>
      <c r="B81" s="108" t="s">
        <v>78</v>
      </c>
      <c r="C81" s="108"/>
      <c r="D81" s="108"/>
      <c r="E81" s="108" t="s">
        <v>408</v>
      </c>
      <c r="F81" s="109" t="s">
        <v>296</v>
      </c>
      <c r="G81" s="109">
        <v>1</v>
      </c>
      <c r="H81" s="98"/>
      <c r="I81" s="98" t="s">
        <v>721</v>
      </c>
      <c r="J81" s="98" t="s">
        <v>717</v>
      </c>
      <c r="K81" s="98" t="s">
        <v>704</v>
      </c>
      <c r="L81" s="74"/>
      <c r="M81" s="113">
        <v>45877</v>
      </c>
      <c r="N81" s="74"/>
      <c r="O81" s="98" t="s">
        <v>298</v>
      </c>
      <c r="P81" s="74"/>
      <c r="Q81" s="74"/>
      <c r="R81" s="74"/>
      <c r="S81" s="74"/>
      <c r="T81" s="74"/>
    </row>
    <row r="82" spans="1:20" ht="15">
      <c r="A82" s="108" t="s">
        <v>749</v>
      </c>
      <c r="B82" s="108" t="s">
        <v>78</v>
      </c>
      <c r="C82" s="108"/>
      <c r="D82" s="108"/>
      <c r="E82" s="108" t="s">
        <v>443</v>
      </c>
      <c r="F82" s="109" t="s">
        <v>296</v>
      </c>
      <c r="G82" s="109">
        <v>1</v>
      </c>
      <c r="H82" s="98"/>
      <c r="I82" s="98" t="s">
        <v>117</v>
      </c>
      <c r="J82" s="98" t="s">
        <v>722</v>
      </c>
      <c r="K82" s="98" t="s">
        <v>704</v>
      </c>
      <c r="L82" s="74"/>
      <c r="M82" s="74"/>
      <c r="N82" s="74"/>
      <c r="O82" s="98" t="s">
        <v>298</v>
      </c>
      <c r="P82" s="74"/>
      <c r="Q82" s="74"/>
      <c r="R82" s="74"/>
      <c r="S82" s="74"/>
      <c r="T82" s="74"/>
    </row>
    <row r="83" spans="1:20" ht="15">
      <c r="A83" s="108" t="s">
        <v>454</v>
      </c>
      <c r="B83" s="108" t="s">
        <v>78</v>
      </c>
      <c r="C83" s="108"/>
      <c r="D83" s="108"/>
      <c r="E83" s="108" t="s">
        <v>443</v>
      </c>
      <c r="F83" s="109" t="s">
        <v>296</v>
      </c>
      <c r="G83" s="109">
        <v>1</v>
      </c>
      <c r="H83" s="98"/>
      <c r="I83" s="98" t="s">
        <v>723</v>
      </c>
      <c r="J83" s="98" t="s">
        <v>722</v>
      </c>
      <c r="K83" s="98" t="s">
        <v>704</v>
      </c>
      <c r="L83" s="74"/>
      <c r="M83" s="74"/>
      <c r="N83" s="74"/>
      <c r="O83" s="98" t="s">
        <v>298</v>
      </c>
      <c r="P83" s="74"/>
      <c r="Q83" s="74"/>
      <c r="R83" s="74"/>
      <c r="S83" s="74"/>
      <c r="T83" s="74"/>
    </row>
    <row r="84" spans="1:20" ht="15">
      <c r="A84" s="108" t="s">
        <v>449</v>
      </c>
      <c r="B84" s="108" t="s">
        <v>78</v>
      </c>
      <c r="C84" s="108"/>
      <c r="D84" s="108"/>
      <c r="E84" s="108" t="s">
        <v>443</v>
      </c>
      <c r="F84" s="109" t="s">
        <v>296</v>
      </c>
      <c r="G84" s="109">
        <v>1</v>
      </c>
      <c r="H84" s="98"/>
      <c r="I84" s="98" t="s">
        <v>724</v>
      </c>
      <c r="J84" s="98" t="s">
        <v>722</v>
      </c>
      <c r="K84" s="98" t="s">
        <v>704</v>
      </c>
      <c r="L84" s="74"/>
      <c r="M84" s="74"/>
      <c r="N84" s="74"/>
      <c r="O84" s="98" t="s">
        <v>298</v>
      </c>
      <c r="P84" s="74"/>
      <c r="Q84" s="74"/>
      <c r="R84" s="74"/>
      <c r="S84" s="74"/>
      <c r="T84" s="74"/>
    </row>
    <row r="85" spans="1:20" ht="15">
      <c r="A85" s="108" t="s">
        <v>459</v>
      </c>
      <c r="B85" s="108" t="s">
        <v>78</v>
      </c>
      <c r="C85" s="108"/>
      <c r="D85" s="108"/>
      <c r="E85" s="108" t="s">
        <v>443</v>
      </c>
      <c r="F85" s="109" t="s">
        <v>296</v>
      </c>
      <c r="G85" s="109">
        <v>1</v>
      </c>
      <c r="H85" s="98"/>
      <c r="I85" s="98" t="s">
        <v>234</v>
      </c>
      <c r="J85" s="98" t="s">
        <v>722</v>
      </c>
      <c r="K85" s="98" t="s">
        <v>704</v>
      </c>
      <c r="L85" s="74"/>
      <c r="M85" s="74"/>
      <c r="N85" s="74"/>
      <c r="O85" s="98" t="s">
        <v>298</v>
      </c>
      <c r="P85" s="74"/>
      <c r="Q85" s="74"/>
      <c r="R85" s="74"/>
      <c r="S85" s="74"/>
      <c r="T85" s="74"/>
    </row>
    <row r="86" spans="1:20" ht="15">
      <c r="A86" s="108" t="s">
        <v>465</v>
      </c>
      <c r="B86" s="108" t="s">
        <v>78</v>
      </c>
      <c r="C86" s="108"/>
      <c r="D86" s="108"/>
      <c r="E86" s="108" t="s">
        <v>443</v>
      </c>
      <c r="F86" s="109" t="s">
        <v>296</v>
      </c>
      <c r="G86" s="109">
        <v>1</v>
      </c>
      <c r="H86" s="98"/>
      <c r="I86" s="98" t="s">
        <v>725</v>
      </c>
      <c r="J86" s="98" t="s">
        <v>722</v>
      </c>
      <c r="K86" s="98" t="s">
        <v>704</v>
      </c>
      <c r="L86" s="74"/>
      <c r="M86" s="74"/>
      <c r="N86" s="74"/>
      <c r="O86" s="98" t="s">
        <v>298</v>
      </c>
      <c r="P86" s="74"/>
      <c r="Q86" s="74"/>
      <c r="R86" s="74"/>
      <c r="S86" s="74"/>
      <c r="T86" s="74"/>
    </row>
    <row r="87" spans="1:20" ht="15">
      <c r="A87" s="108" t="s">
        <v>471</v>
      </c>
      <c r="B87" s="108" t="s">
        <v>78</v>
      </c>
      <c r="C87" s="108"/>
      <c r="D87" s="108"/>
      <c r="E87" s="108" t="s">
        <v>443</v>
      </c>
      <c r="F87" s="109" t="s">
        <v>296</v>
      </c>
      <c r="G87" s="109">
        <v>1</v>
      </c>
      <c r="H87" s="98"/>
      <c r="I87" s="98" t="s">
        <v>726</v>
      </c>
      <c r="J87" s="98" t="s">
        <v>722</v>
      </c>
      <c r="K87" s="98" t="s">
        <v>704</v>
      </c>
      <c r="L87" s="74"/>
      <c r="M87" s="74"/>
      <c r="N87" s="74"/>
      <c r="O87" s="98" t="s">
        <v>298</v>
      </c>
      <c r="P87" s="74"/>
      <c r="Q87" s="74"/>
      <c r="R87" s="74"/>
      <c r="S87" s="74"/>
      <c r="T87" s="74"/>
    </row>
    <row r="88" spans="1:20" ht="15">
      <c r="A88" s="108" t="s">
        <v>476</v>
      </c>
      <c r="B88" s="108" t="s">
        <v>78</v>
      </c>
      <c r="C88" s="108"/>
      <c r="D88" s="108"/>
      <c r="E88" s="108" t="s">
        <v>443</v>
      </c>
      <c r="F88" s="109" t="s">
        <v>296</v>
      </c>
      <c r="G88" s="109">
        <v>1</v>
      </c>
      <c r="H88" s="98"/>
      <c r="I88" s="98" t="s">
        <v>727</v>
      </c>
      <c r="J88" s="98" t="s">
        <v>722</v>
      </c>
      <c r="K88" s="98" t="s">
        <v>704</v>
      </c>
      <c r="L88" s="74"/>
      <c r="M88" s="74"/>
      <c r="N88" s="74"/>
      <c r="O88" s="98" t="s">
        <v>298</v>
      </c>
      <c r="P88" s="74"/>
      <c r="Q88" s="74"/>
      <c r="R88" s="74"/>
      <c r="S88" s="74"/>
      <c r="T88" s="74"/>
    </row>
    <row r="89" spans="1:20" ht="15">
      <c r="A89" s="108" t="s">
        <v>481</v>
      </c>
      <c r="B89" s="108" t="s">
        <v>78</v>
      </c>
      <c r="C89" s="108"/>
      <c r="D89" s="108"/>
      <c r="E89" s="108" t="s">
        <v>728</v>
      </c>
      <c r="F89" s="109" t="s">
        <v>296</v>
      </c>
      <c r="G89" s="109">
        <v>1</v>
      </c>
      <c r="H89" s="98"/>
      <c r="I89" s="98" t="s">
        <v>231</v>
      </c>
      <c r="J89" s="98" t="s">
        <v>722</v>
      </c>
      <c r="K89" s="98" t="s">
        <v>704</v>
      </c>
      <c r="L89" s="74"/>
      <c r="M89" s="74"/>
      <c r="N89" s="74"/>
      <c r="O89" s="98" t="s">
        <v>298</v>
      </c>
      <c r="P89" s="74"/>
      <c r="Q89" s="74"/>
      <c r="R89" s="74"/>
      <c r="S89" s="74"/>
      <c r="T89" s="74"/>
    </row>
    <row r="90" spans="1:20" ht="15">
      <c r="A90" s="108" t="s">
        <v>122</v>
      </c>
      <c r="B90" s="108" t="s">
        <v>78</v>
      </c>
      <c r="C90" s="108"/>
      <c r="D90" s="108"/>
      <c r="E90" s="108" t="s">
        <v>728</v>
      </c>
      <c r="F90" s="109" t="s">
        <v>296</v>
      </c>
      <c r="G90" s="109">
        <v>1</v>
      </c>
      <c r="H90" s="98"/>
      <c r="I90" s="98" t="s">
        <v>119</v>
      </c>
      <c r="J90" s="98" t="s">
        <v>722</v>
      </c>
      <c r="K90" s="98" t="s">
        <v>704</v>
      </c>
      <c r="L90" s="74"/>
      <c r="M90" s="74"/>
      <c r="N90" s="74"/>
      <c r="O90" s="98" t="s">
        <v>298</v>
      </c>
      <c r="P90" s="74"/>
      <c r="Q90" s="74"/>
      <c r="R90" s="74"/>
      <c r="S90" s="74"/>
      <c r="T90" s="74"/>
    </row>
    <row r="91" spans="1:20" ht="15">
      <c r="A91" s="108" t="s">
        <v>550</v>
      </c>
      <c r="B91" s="108" t="s">
        <v>78</v>
      </c>
      <c r="C91" s="108"/>
      <c r="D91" s="108"/>
      <c r="E91" s="108" t="s">
        <v>728</v>
      </c>
      <c r="F91" s="109" t="s">
        <v>296</v>
      </c>
      <c r="G91" s="109">
        <v>1</v>
      </c>
      <c r="H91" s="98"/>
      <c r="I91" s="98" t="s">
        <v>729</v>
      </c>
      <c r="J91" s="98" t="s">
        <v>730</v>
      </c>
      <c r="K91" s="98" t="s">
        <v>704</v>
      </c>
      <c r="L91" s="74"/>
      <c r="M91" s="74"/>
      <c r="N91" s="74"/>
      <c r="O91" s="98"/>
      <c r="P91" s="74"/>
      <c r="Q91" s="74"/>
      <c r="R91" s="74"/>
      <c r="S91" s="74"/>
      <c r="T91" s="74"/>
    </row>
    <row r="92" spans="1:20" ht="15">
      <c r="A92" s="121" t="s">
        <v>750</v>
      </c>
      <c r="B92" s="121" t="s">
        <v>78</v>
      </c>
      <c r="C92" s="121"/>
      <c r="D92" s="121"/>
      <c r="E92" s="121" t="s">
        <v>295</v>
      </c>
      <c r="F92" s="106" t="s">
        <v>296</v>
      </c>
      <c r="G92" s="106">
        <v>1</v>
      </c>
      <c r="H92" s="121"/>
      <c r="I92" s="121"/>
      <c r="J92" s="121"/>
      <c r="K92" s="121"/>
      <c r="L92" s="121"/>
      <c r="M92" s="121"/>
      <c r="N92" s="121"/>
      <c r="O92" s="121" t="s">
        <v>564</v>
      </c>
      <c r="P92" s="121"/>
      <c r="Q92" s="121" t="s">
        <v>714</v>
      </c>
      <c r="R92" s="74"/>
      <c r="S92" s="74"/>
      <c r="T92" s="74"/>
    </row>
    <row r="93" spans="1:20" ht="15">
      <c r="A93" s="121" t="s">
        <v>604</v>
      </c>
      <c r="B93" s="121" t="s">
        <v>78</v>
      </c>
      <c r="C93" s="121"/>
      <c r="D93" s="121"/>
      <c r="E93" s="121" t="s">
        <v>295</v>
      </c>
      <c r="F93" s="106" t="s">
        <v>296</v>
      </c>
      <c r="G93" s="106">
        <v>1</v>
      </c>
      <c r="H93" s="121"/>
      <c r="I93" s="121"/>
      <c r="J93" s="121"/>
      <c r="K93" s="121"/>
      <c r="L93" s="121"/>
      <c r="M93" s="121"/>
      <c r="N93" s="121"/>
      <c r="O93" s="121" t="s">
        <v>564</v>
      </c>
      <c r="P93" s="121"/>
      <c r="Q93" s="121" t="s">
        <v>716</v>
      </c>
      <c r="R93" s="74"/>
      <c r="S93" s="74"/>
      <c r="T93" s="74"/>
    </row>
    <row r="94" spans="1:20" ht="15">
      <c r="A94" s="108" t="s">
        <v>437</v>
      </c>
      <c r="B94" s="108" t="s">
        <v>78</v>
      </c>
      <c r="C94" s="108"/>
      <c r="D94" s="108"/>
      <c r="E94" s="108" t="s">
        <v>295</v>
      </c>
      <c r="F94" s="109" t="s">
        <v>296</v>
      </c>
      <c r="G94" s="109">
        <v>1</v>
      </c>
      <c r="H94" s="98"/>
      <c r="I94" s="98"/>
      <c r="J94" s="98"/>
      <c r="K94" s="98"/>
      <c r="L94" s="74"/>
      <c r="M94" s="74"/>
      <c r="N94" s="74"/>
      <c r="O94" s="98" t="s">
        <v>564</v>
      </c>
      <c r="P94" s="74"/>
      <c r="Q94" s="74"/>
      <c r="R94" s="74"/>
      <c r="S94" s="74"/>
      <c r="T94" s="74"/>
    </row>
    <row r="95" spans="1:20" ht="15">
      <c r="A95" s="108" t="s">
        <v>248</v>
      </c>
      <c r="B95" s="108" t="s">
        <v>78</v>
      </c>
      <c r="C95" s="108"/>
      <c r="D95" s="108"/>
      <c r="E95" s="108" t="s">
        <v>373</v>
      </c>
      <c r="F95" s="109" t="s">
        <v>296</v>
      </c>
      <c r="G95" s="109">
        <v>1</v>
      </c>
      <c r="H95" s="98"/>
      <c r="I95" s="98"/>
      <c r="J95" s="98"/>
      <c r="K95" s="98"/>
      <c r="L95" s="74"/>
      <c r="M95" s="74"/>
      <c r="N95" s="74"/>
      <c r="O95" s="98" t="s">
        <v>564</v>
      </c>
      <c r="P95" s="74"/>
      <c r="Q95" s="74"/>
      <c r="R95" s="74"/>
      <c r="S95" s="74"/>
      <c r="T95" s="74"/>
    </row>
    <row r="96" spans="1:20" ht="15">
      <c r="A96" s="108" t="s">
        <v>560</v>
      </c>
      <c r="B96" s="108" t="s">
        <v>78</v>
      </c>
      <c r="C96" s="108"/>
      <c r="D96" s="108"/>
      <c r="E96" s="108" t="s">
        <v>408</v>
      </c>
      <c r="F96" s="109" t="s">
        <v>296</v>
      </c>
      <c r="G96" s="109">
        <v>1</v>
      </c>
      <c r="H96" s="98"/>
      <c r="I96" s="98"/>
      <c r="J96" s="98"/>
      <c r="K96" s="98"/>
      <c r="L96" s="74"/>
      <c r="M96" s="74"/>
      <c r="N96" s="74"/>
      <c r="O96" s="98" t="s">
        <v>564</v>
      </c>
      <c r="P96" s="74"/>
      <c r="Q96" s="74"/>
      <c r="R96" s="74"/>
      <c r="S96" s="74"/>
      <c r="T96" s="74"/>
    </row>
    <row r="97" spans="1:20" ht="15">
      <c r="A97" s="108" t="s">
        <v>445</v>
      </c>
      <c r="B97" s="108" t="s">
        <v>78</v>
      </c>
      <c r="C97" s="108"/>
      <c r="D97" s="108"/>
      <c r="E97" s="108" t="s">
        <v>443</v>
      </c>
      <c r="F97" s="109" t="s">
        <v>296</v>
      </c>
      <c r="G97" s="109">
        <v>1</v>
      </c>
      <c r="H97" s="98"/>
      <c r="I97" s="98" t="s">
        <v>117</v>
      </c>
      <c r="J97" s="98" t="s">
        <v>722</v>
      </c>
      <c r="K97" s="98" t="s">
        <v>704</v>
      </c>
      <c r="L97" s="74"/>
      <c r="M97" s="74"/>
      <c r="N97" s="74"/>
      <c r="O97" s="98" t="s">
        <v>298</v>
      </c>
      <c r="P97" s="74"/>
      <c r="Q97" s="74"/>
      <c r="R97" s="74"/>
      <c r="S97" s="74"/>
      <c r="T97" s="74"/>
    </row>
    <row r="98" spans="1:20" ht="15">
      <c r="A98" s="108" t="s">
        <v>751</v>
      </c>
      <c r="B98" s="108" t="s">
        <v>78</v>
      </c>
      <c r="C98" s="108"/>
      <c r="D98" s="108"/>
      <c r="E98" s="108" t="s">
        <v>373</v>
      </c>
      <c r="F98" s="109" t="s">
        <v>296</v>
      </c>
      <c r="G98" s="109">
        <v>1</v>
      </c>
      <c r="H98" s="98"/>
      <c r="I98" s="98" t="s">
        <v>632</v>
      </c>
      <c r="J98" s="98" t="s">
        <v>633</v>
      </c>
      <c r="K98" s="98" t="s">
        <v>704</v>
      </c>
      <c r="L98" s="74"/>
      <c r="M98" s="113">
        <v>45877</v>
      </c>
      <c r="N98" s="74"/>
      <c r="O98" s="98" t="s">
        <v>298</v>
      </c>
      <c r="P98" s="74"/>
      <c r="Q98" s="74"/>
      <c r="R98" s="74"/>
      <c r="S98" s="74"/>
      <c r="T98" s="74"/>
    </row>
    <row r="99" spans="1:20" ht="15">
      <c r="A99" s="108" t="s">
        <v>332</v>
      </c>
      <c r="B99" s="108" t="s">
        <v>78</v>
      </c>
      <c r="C99" s="108"/>
      <c r="D99" s="108"/>
      <c r="E99" s="108" t="s">
        <v>295</v>
      </c>
      <c r="F99" s="109" t="s">
        <v>296</v>
      </c>
      <c r="G99" s="109">
        <v>1</v>
      </c>
      <c r="H99" s="98"/>
      <c r="I99" s="98" t="s">
        <v>752</v>
      </c>
      <c r="J99" s="98" t="s">
        <v>629</v>
      </c>
      <c r="K99" s="98" t="s">
        <v>704</v>
      </c>
      <c r="L99" s="74"/>
      <c r="M99" s="113">
        <v>45877</v>
      </c>
      <c r="N99" s="74"/>
      <c r="O99" s="98" t="s">
        <v>298</v>
      </c>
      <c r="P99" s="74"/>
      <c r="Q99" s="74"/>
      <c r="R99" s="74"/>
      <c r="S99" s="74"/>
      <c r="T99" s="74"/>
    </row>
    <row r="100" spans="1:20" ht="15">
      <c r="A100" s="108" t="s">
        <v>581</v>
      </c>
      <c r="B100" s="108" t="s">
        <v>78</v>
      </c>
      <c r="C100" s="108"/>
      <c r="D100" s="108"/>
      <c r="E100" s="108" t="s">
        <v>295</v>
      </c>
      <c r="F100" s="109" t="s">
        <v>296</v>
      </c>
      <c r="G100" s="109">
        <v>1</v>
      </c>
      <c r="H100" s="98"/>
      <c r="I100" s="98" t="s">
        <v>753</v>
      </c>
      <c r="J100" s="98" t="s">
        <v>629</v>
      </c>
      <c r="K100" s="98" t="s">
        <v>704</v>
      </c>
      <c r="L100" s="74"/>
      <c r="M100" s="113">
        <v>45877</v>
      </c>
      <c r="N100" s="74"/>
      <c r="O100" s="98" t="s">
        <v>298</v>
      </c>
      <c r="P100" s="74"/>
      <c r="Q100" s="74"/>
      <c r="R100" s="74"/>
      <c r="S100" s="74"/>
      <c r="T100" s="74"/>
    </row>
    <row r="101" spans="1:20" ht="15">
      <c r="F101" s="75"/>
      <c r="G101" s="75"/>
    </row>
    <row r="102" spans="1:20" ht="15">
      <c r="A102" s="94" t="s">
        <v>540</v>
      </c>
      <c r="B102" s="94" t="s">
        <v>80</v>
      </c>
      <c r="C102" s="94" t="s">
        <v>754</v>
      </c>
      <c r="D102" s="94" t="s">
        <v>755</v>
      </c>
      <c r="E102" s="94" t="s">
        <v>705</v>
      </c>
      <c r="F102" s="107" t="s">
        <v>296</v>
      </c>
      <c r="G102" s="107">
        <v>1</v>
      </c>
      <c r="H102" s="98"/>
      <c r="I102" s="98" t="s">
        <v>115</v>
      </c>
      <c r="J102" s="98" t="s">
        <v>706</v>
      </c>
      <c r="K102" s="98" t="s">
        <v>704</v>
      </c>
      <c r="L102" s="112"/>
      <c r="M102" s="113">
        <v>45877</v>
      </c>
      <c r="N102" s="74"/>
      <c r="O102" s="98" t="s">
        <v>298</v>
      </c>
      <c r="P102" s="74"/>
      <c r="Q102" s="74"/>
      <c r="R102" s="74"/>
      <c r="S102" s="74"/>
      <c r="T102" s="74"/>
    </row>
    <row r="103" spans="1:20" ht="15">
      <c r="A103" s="94" t="s">
        <v>510</v>
      </c>
      <c r="B103" s="94" t="s">
        <v>80</v>
      </c>
      <c r="C103" s="94" t="s">
        <v>754</v>
      </c>
      <c r="D103" s="94" t="s">
        <v>755</v>
      </c>
      <c r="E103" s="94" t="s">
        <v>492</v>
      </c>
      <c r="F103" s="107" t="s">
        <v>296</v>
      </c>
      <c r="G103" s="107">
        <v>1</v>
      </c>
      <c r="H103" s="98"/>
      <c r="I103" s="98" t="s">
        <v>707</v>
      </c>
      <c r="J103" s="98" t="s">
        <v>637</v>
      </c>
      <c r="K103" s="98" t="s">
        <v>704</v>
      </c>
      <c r="L103" s="112"/>
      <c r="M103" s="113">
        <v>45877</v>
      </c>
      <c r="N103" s="74"/>
      <c r="O103" s="98" t="s">
        <v>298</v>
      </c>
      <c r="P103" s="74"/>
      <c r="Q103" s="74"/>
      <c r="R103" s="74"/>
      <c r="S103" s="74"/>
      <c r="T103" s="74"/>
    </row>
    <row r="104" spans="1:20" ht="15">
      <c r="A104" s="94" t="s">
        <v>517</v>
      </c>
      <c r="B104" s="94" t="s">
        <v>80</v>
      </c>
      <c r="C104" s="94" t="s">
        <v>754</v>
      </c>
      <c r="D104" s="94" t="s">
        <v>755</v>
      </c>
      <c r="E104" s="94" t="s">
        <v>492</v>
      </c>
      <c r="F104" s="107" t="s">
        <v>296</v>
      </c>
      <c r="G104" s="107">
        <v>1</v>
      </c>
      <c r="H104" s="98"/>
      <c r="I104" s="98" t="s">
        <v>209</v>
      </c>
      <c r="J104" s="98" t="s">
        <v>637</v>
      </c>
      <c r="K104" s="98" t="s">
        <v>704</v>
      </c>
      <c r="L104" s="112"/>
      <c r="M104" s="113">
        <v>45877</v>
      </c>
      <c r="N104" s="74"/>
      <c r="O104" s="98" t="s">
        <v>298</v>
      </c>
      <c r="P104" s="74"/>
      <c r="Q104" s="74"/>
      <c r="R104" s="74"/>
      <c r="S104" s="74"/>
      <c r="T104" s="74"/>
    </row>
    <row r="105" spans="1:20" ht="15">
      <c r="A105" s="94" t="s">
        <v>523</v>
      </c>
      <c r="B105" s="94" t="s">
        <v>80</v>
      </c>
      <c r="C105" s="94" t="s">
        <v>754</v>
      </c>
      <c r="D105" s="94" t="s">
        <v>755</v>
      </c>
      <c r="E105" s="94" t="s">
        <v>492</v>
      </c>
      <c r="F105" s="107" t="s">
        <v>296</v>
      </c>
      <c r="G105" s="107">
        <v>1</v>
      </c>
      <c r="H105" s="98"/>
      <c r="I105" s="98" t="s">
        <v>708</v>
      </c>
      <c r="J105" s="98" t="s">
        <v>637</v>
      </c>
      <c r="K105" s="98" t="s">
        <v>704</v>
      </c>
      <c r="L105" s="112"/>
      <c r="M105" s="113">
        <v>45877</v>
      </c>
      <c r="N105" s="74"/>
      <c r="O105" s="98" t="s">
        <v>298</v>
      </c>
      <c r="P105" s="74"/>
      <c r="Q105" s="74"/>
      <c r="R105" s="74"/>
      <c r="S105" s="74"/>
      <c r="T105" s="74"/>
    </row>
    <row r="106" spans="1:20" ht="15">
      <c r="A106" s="94" t="s">
        <v>756</v>
      </c>
      <c r="B106" s="94" t="s">
        <v>80</v>
      </c>
      <c r="C106" s="94" t="s">
        <v>757</v>
      </c>
      <c r="D106" s="94" t="s">
        <v>758</v>
      </c>
      <c r="E106" s="94" t="s">
        <v>492</v>
      </c>
      <c r="F106" s="107" t="s">
        <v>296</v>
      </c>
      <c r="G106" s="107">
        <v>1</v>
      </c>
      <c r="H106" s="98"/>
      <c r="I106" s="98" t="s">
        <v>709</v>
      </c>
      <c r="J106" s="98" t="s">
        <v>637</v>
      </c>
      <c r="K106" s="98" t="s">
        <v>704</v>
      </c>
      <c r="L106" s="112"/>
      <c r="M106" s="113">
        <v>45877</v>
      </c>
      <c r="N106" s="74"/>
      <c r="O106" s="98" t="s">
        <v>298</v>
      </c>
      <c r="P106" s="74"/>
      <c r="Q106" s="74"/>
      <c r="R106" s="74"/>
      <c r="S106" s="74"/>
      <c r="T106" s="74"/>
    </row>
    <row r="107" spans="1:20" ht="15">
      <c r="A107" s="94" t="s">
        <v>495</v>
      </c>
      <c r="B107" s="94" t="s">
        <v>80</v>
      </c>
      <c r="C107" s="94"/>
      <c r="D107" s="94"/>
      <c r="E107" s="94" t="s">
        <v>492</v>
      </c>
      <c r="F107" s="107" t="s">
        <v>296</v>
      </c>
      <c r="G107" s="107">
        <v>1</v>
      </c>
      <c r="H107" s="98"/>
      <c r="I107" s="98" t="s">
        <v>710</v>
      </c>
      <c r="J107" s="98" t="s">
        <v>637</v>
      </c>
      <c r="K107" s="98" t="s">
        <v>704</v>
      </c>
      <c r="L107" s="112"/>
      <c r="M107" s="113">
        <v>45877</v>
      </c>
      <c r="N107" s="74"/>
      <c r="O107" s="98" t="s">
        <v>298</v>
      </c>
      <c r="P107" s="74"/>
      <c r="Q107" s="74"/>
      <c r="R107" s="74"/>
      <c r="S107" s="74"/>
      <c r="T107" s="74"/>
    </row>
    <row r="108" spans="1:20" ht="15">
      <c r="A108" s="94" t="s">
        <v>759</v>
      </c>
      <c r="B108" s="94" t="s">
        <v>80</v>
      </c>
      <c r="C108" s="94"/>
      <c r="D108" s="94"/>
      <c r="E108" s="94" t="s">
        <v>295</v>
      </c>
      <c r="F108" s="107" t="s">
        <v>296</v>
      </c>
      <c r="G108" s="107">
        <v>1</v>
      </c>
      <c r="H108" s="98"/>
      <c r="I108" s="98" t="s">
        <v>711</v>
      </c>
      <c r="J108" s="98" t="s">
        <v>629</v>
      </c>
      <c r="K108" s="98"/>
      <c r="L108" s="74"/>
      <c r="M108" s="74"/>
      <c r="N108" s="74"/>
      <c r="O108" s="98"/>
      <c r="P108" s="74"/>
      <c r="Q108" s="74"/>
      <c r="R108" s="74"/>
      <c r="S108" s="74"/>
      <c r="T108" s="74"/>
    </row>
    <row r="109" spans="1:20" ht="15">
      <c r="A109" s="94" t="s">
        <v>594</v>
      </c>
      <c r="B109" s="94" t="s">
        <v>80</v>
      </c>
      <c r="C109" s="94"/>
      <c r="D109" s="94"/>
      <c r="E109" s="94" t="s">
        <v>295</v>
      </c>
      <c r="F109" s="107" t="s">
        <v>296</v>
      </c>
      <c r="G109" s="107">
        <v>1</v>
      </c>
      <c r="H109" s="98"/>
      <c r="I109" s="99" t="s">
        <v>125</v>
      </c>
      <c r="J109" s="98" t="s">
        <v>629</v>
      </c>
      <c r="K109" s="98" t="s">
        <v>704</v>
      </c>
      <c r="L109" s="74"/>
      <c r="M109" s="74" t="s">
        <v>747</v>
      </c>
      <c r="N109" s="74"/>
      <c r="O109" s="98" t="s">
        <v>298</v>
      </c>
      <c r="P109" s="74"/>
      <c r="Q109" s="74"/>
      <c r="R109" s="74"/>
      <c r="S109" s="74"/>
      <c r="T109" s="74"/>
    </row>
    <row r="110" spans="1:20" ht="15">
      <c r="A110" s="94" t="s">
        <v>314</v>
      </c>
      <c r="B110" s="94" t="s">
        <v>80</v>
      </c>
      <c r="C110" s="94"/>
      <c r="D110" s="94"/>
      <c r="E110" s="94" t="s">
        <v>295</v>
      </c>
      <c r="F110" s="107" t="s">
        <v>296</v>
      </c>
      <c r="G110" s="107">
        <v>1</v>
      </c>
      <c r="H110" s="98"/>
      <c r="I110" s="98" t="s">
        <v>127</v>
      </c>
      <c r="J110" s="98" t="s">
        <v>629</v>
      </c>
      <c r="K110" s="98" t="s">
        <v>704</v>
      </c>
      <c r="L110" s="74"/>
      <c r="M110" s="113">
        <v>45877</v>
      </c>
      <c r="N110" s="74"/>
      <c r="O110" s="98" t="s">
        <v>298</v>
      </c>
      <c r="P110" s="74"/>
      <c r="Q110" s="74"/>
      <c r="R110" s="74"/>
      <c r="S110" s="74"/>
      <c r="T110" s="74"/>
    </row>
    <row r="111" spans="1:20" ht="15">
      <c r="A111" s="94" t="s">
        <v>501</v>
      </c>
      <c r="B111" s="94" t="s">
        <v>80</v>
      </c>
      <c r="C111" s="94"/>
      <c r="D111" s="94"/>
      <c r="E111" s="94" t="s">
        <v>295</v>
      </c>
      <c r="F111" s="107" t="s">
        <v>296</v>
      </c>
      <c r="G111" s="107">
        <v>1</v>
      </c>
      <c r="H111" s="98"/>
      <c r="I111" s="98" t="s">
        <v>712</v>
      </c>
      <c r="J111" s="98" t="s">
        <v>629</v>
      </c>
      <c r="K111" s="98" t="s">
        <v>704</v>
      </c>
      <c r="L111" s="74"/>
      <c r="M111" s="113">
        <v>45877</v>
      </c>
      <c r="N111" s="74"/>
      <c r="O111" s="98"/>
      <c r="P111" s="74"/>
      <c r="Q111" s="74"/>
      <c r="R111" s="74"/>
      <c r="S111" s="74"/>
      <c r="T111" s="74"/>
    </row>
    <row r="112" spans="1:20" ht="15">
      <c r="A112" s="94" t="s">
        <v>307</v>
      </c>
      <c r="B112" s="94" t="s">
        <v>80</v>
      </c>
      <c r="C112" s="94"/>
      <c r="D112" s="94"/>
      <c r="E112" s="94" t="s">
        <v>295</v>
      </c>
      <c r="F112" s="107" t="s">
        <v>296</v>
      </c>
      <c r="G112" s="107">
        <v>1</v>
      </c>
      <c r="H112" s="98"/>
      <c r="I112" s="98" t="s">
        <v>713</v>
      </c>
      <c r="J112" s="98" t="s">
        <v>629</v>
      </c>
      <c r="K112" s="98" t="s">
        <v>704</v>
      </c>
      <c r="L112" s="74"/>
      <c r="M112" s="113">
        <v>45877</v>
      </c>
      <c r="N112" s="74"/>
      <c r="O112" s="98" t="s">
        <v>564</v>
      </c>
      <c r="P112" s="74"/>
      <c r="Q112" s="74"/>
      <c r="R112" s="74"/>
      <c r="S112" s="74"/>
      <c r="T112" s="74"/>
    </row>
    <row r="113" spans="1:20" ht="15">
      <c r="A113" s="94" t="s">
        <v>351</v>
      </c>
      <c r="B113" s="94" t="s">
        <v>80</v>
      </c>
      <c r="C113" s="94"/>
      <c r="D113" s="94"/>
      <c r="E113" s="94" t="s">
        <v>345</v>
      </c>
      <c r="F113" s="107" t="s">
        <v>296</v>
      </c>
      <c r="G113" s="107">
        <v>1</v>
      </c>
      <c r="H113" s="98"/>
      <c r="I113" s="98" t="s">
        <v>195</v>
      </c>
      <c r="J113" s="98" t="s">
        <v>635</v>
      </c>
      <c r="K113" s="98" t="s">
        <v>704</v>
      </c>
      <c r="L113" s="74"/>
      <c r="M113" s="113">
        <v>45877</v>
      </c>
      <c r="N113" s="74"/>
      <c r="O113" s="98" t="s">
        <v>298</v>
      </c>
      <c r="P113" s="74"/>
      <c r="Q113" s="74"/>
      <c r="R113" s="74"/>
      <c r="S113" s="74"/>
      <c r="T113" s="74"/>
    </row>
    <row r="114" spans="1:20" ht="15">
      <c r="A114" s="94" t="s">
        <v>356</v>
      </c>
      <c r="B114" s="94" t="s">
        <v>80</v>
      </c>
      <c r="C114" s="94"/>
      <c r="D114" s="94"/>
      <c r="E114" s="94" t="s">
        <v>345</v>
      </c>
      <c r="F114" s="107" t="s">
        <v>296</v>
      </c>
      <c r="G114" s="107">
        <v>1</v>
      </c>
      <c r="H114" s="98"/>
      <c r="I114" s="98" t="s">
        <v>201</v>
      </c>
      <c r="J114" s="98" t="s">
        <v>635</v>
      </c>
      <c r="K114" s="98" t="s">
        <v>704</v>
      </c>
      <c r="L114" s="74"/>
      <c r="M114" s="113">
        <v>45877</v>
      </c>
      <c r="N114" s="74"/>
      <c r="O114" s="98" t="s">
        <v>298</v>
      </c>
      <c r="P114" s="74"/>
      <c r="Q114" s="74"/>
      <c r="R114" s="74"/>
      <c r="S114" s="74"/>
      <c r="T114" s="74"/>
    </row>
    <row r="115" spans="1:20" ht="15">
      <c r="A115" s="94" t="s">
        <v>760</v>
      </c>
      <c r="B115" s="94" t="s">
        <v>80</v>
      </c>
      <c r="C115" s="94"/>
      <c r="D115" s="94"/>
      <c r="E115" s="94"/>
      <c r="F115" s="107" t="s">
        <v>296</v>
      </c>
      <c r="G115" s="107">
        <v>1</v>
      </c>
      <c r="H115" s="98"/>
      <c r="I115" s="98"/>
      <c r="J115" s="98"/>
      <c r="K115" s="98"/>
      <c r="L115" s="74"/>
      <c r="M115" s="74"/>
      <c r="N115" s="74"/>
      <c r="O115" s="98"/>
      <c r="P115" s="74"/>
      <c r="Q115" s="74"/>
      <c r="R115" s="74"/>
      <c r="S115" s="74"/>
      <c r="T115" s="74"/>
    </row>
    <row r="116" spans="1:20" ht="15">
      <c r="A116" s="94" t="s">
        <v>761</v>
      </c>
      <c r="B116" s="94" t="s">
        <v>80</v>
      </c>
      <c r="C116" s="94"/>
      <c r="D116" s="94"/>
      <c r="E116" s="94" t="s">
        <v>373</v>
      </c>
      <c r="F116" s="107" t="s">
        <v>296</v>
      </c>
      <c r="G116" s="107">
        <v>1</v>
      </c>
      <c r="H116" s="98"/>
      <c r="I116" s="98" t="s">
        <v>161</v>
      </c>
      <c r="J116" s="98" t="s">
        <v>633</v>
      </c>
      <c r="K116" s="98" t="s">
        <v>704</v>
      </c>
      <c r="L116" s="74"/>
      <c r="M116" s="113">
        <v>45877</v>
      </c>
      <c r="N116" s="74"/>
      <c r="O116" s="98" t="s">
        <v>298</v>
      </c>
      <c r="P116" s="74"/>
      <c r="Q116" s="74"/>
      <c r="R116" s="74"/>
      <c r="S116" s="74"/>
      <c r="T116" s="74"/>
    </row>
    <row r="117" spans="1:20" ht="15">
      <c r="A117" s="94" t="s">
        <v>396</v>
      </c>
      <c r="B117" s="94" t="s">
        <v>80</v>
      </c>
      <c r="C117" s="94"/>
      <c r="D117" s="94"/>
      <c r="E117" s="94" t="s">
        <v>373</v>
      </c>
      <c r="F117" s="107" t="s">
        <v>296</v>
      </c>
      <c r="G117" s="107">
        <v>1</v>
      </c>
      <c r="H117" s="98"/>
      <c r="I117" s="98" t="s">
        <v>715</v>
      </c>
      <c r="J117" s="98" t="s">
        <v>633</v>
      </c>
      <c r="K117" s="98" t="s">
        <v>704</v>
      </c>
      <c r="L117" s="74"/>
      <c r="M117" s="113">
        <v>45877</v>
      </c>
      <c r="N117" s="74"/>
      <c r="O117" s="98" t="s">
        <v>298</v>
      </c>
      <c r="P117" s="74"/>
      <c r="Q117" s="74"/>
      <c r="R117" s="74"/>
      <c r="S117" s="74"/>
      <c r="T117" s="74"/>
    </row>
    <row r="118" spans="1:20" ht="15">
      <c r="A118" s="94" t="s">
        <v>762</v>
      </c>
      <c r="B118" s="94" t="s">
        <v>80</v>
      </c>
      <c r="C118" s="94"/>
      <c r="D118" s="94"/>
      <c r="E118" s="94"/>
      <c r="F118" s="107" t="s">
        <v>296</v>
      </c>
      <c r="G118" s="107">
        <v>1</v>
      </c>
      <c r="H118" s="98"/>
      <c r="I118" s="98"/>
      <c r="J118" s="98"/>
      <c r="K118" s="98"/>
      <c r="L118" s="74"/>
      <c r="M118" s="74"/>
      <c r="N118" s="74"/>
      <c r="O118" s="98"/>
      <c r="P118" s="74"/>
      <c r="Q118" s="74"/>
      <c r="R118" s="74"/>
      <c r="S118" s="74"/>
      <c r="T118" s="74"/>
    </row>
    <row r="119" spans="1:20" ht="15">
      <c r="A119" s="94" t="s">
        <v>570</v>
      </c>
      <c r="B119" s="94" t="s">
        <v>80</v>
      </c>
      <c r="C119" s="94"/>
      <c r="D119" s="94"/>
      <c r="E119" s="94" t="s">
        <v>408</v>
      </c>
      <c r="F119" s="107" t="s">
        <v>296</v>
      </c>
      <c r="G119" s="107">
        <v>1</v>
      </c>
      <c r="H119" s="98"/>
      <c r="I119" s="98" t="s">
        <v>135</v>
      </c>
      <c r="J119" s="98" t="s">
        <v>717</v>
      </c>
      <c r="K119" s="98" t="s">
        <v>704</v>
      </c>
      <c r="L119" s="74"/>
      <c r="M119" s="113">
        <v>45877</v>
      </c>
      <c r="N119" s="74"/>
      <c r="O119" s="98" t="s">
        <v>298</v>
      </c>
      <c r="P119" s="74"/>
      <c r="Q119" s="74"/>
      <c r="R119" s="74"/>
      <c r="S119" s="74"/>
      <c r="T119" s="74"/>
    </row>
    <row r="120" spans="1:20" ht="15">
      <c r="A120" s="94" t="s">
        <v>763</v>
      </c>
      <c r="B120" s="94" t="s">
        <v>80</v>
      </c>
      <c r="C120" s="94"/>
      <c r="D120" s="94"/>
      <c r="E120" s="94" t="s">
        <v>408</v>
      </c>
      <c r="F120" s="107" t="s">
        <v>296</v>
      </c>
      <c r="G120" s="107">
        <v>1</v>
      </c>
      <c r="H120" s="98"/>
      <c r="I120" s="98" t="s">
        <v>718</v>
      </c>
      <c r="J120" s="98" t="s">
        <v>717</v>
      </c>
      <c r="K120" s="98" t="s">
        <v>704</v>
      </c>
      <c r="L120" s="74"/>
      <c r="M120" s="113">
        <v>45877</v>
      </c>
      <c r="N120" s="74"/>
      <c r="O120" s="98" t="s">
        <v>298</v>
      </c>
      <c r="P120" s="74"/>
      <c r="Q120" s="74"/>
      <c r="R120" s="74"/>
      <c r="S120" s="74"/>
      <c r="T120" s="74"/>
    </row>
    <row r="121" spans="1:20" ht="15">
      <c r="A121" s="94" t="s">
        <v>528</v>
      </c>
      <c r="B121" s="94" t="s">
        <v>80</v>
      </c>
      <c r="C121" s="94"/>
      <c r="D121" s="94"/>
      <c r="E121" s="94" t="s">
        <v>408</v>
      </c>
      <c r="F121" s="107" t="s">
        <v>296</v>
      </c>
      <c r="G121" s="107">
        <v>1</v>
      </c>
      <c r="H121" s="98"/>
      <c r="I121" s="98" t="s">
        <v>719</v>
      </c>
      <c r="J121" s="98" t="s">
        <v>717</v>
      </c>
      <c r="K121" s="98" t="s">
        <v>704</v>
      </c>
      <c r="L121" s="74"/>
      <c r="M121" s="113">
        <v>45877</v>
      </c>
      <c r="N121" s="74"/>
      <c r="O121" s="98" t="s">
        <v>298</v>
      </c>
      <c r="P121" s="74"/>
      <c r="Q121" s="74"/>
      <c r="R121" s="74"/>
      <c r="S121" s="74"/>
      <c r="T121" s="74"/>
    </row>
    <row r="122" spans="1:20" ht="15">
      <c r="A122" s="94" t="s">
        <v>572</v>
      </c>
      <c r="B122" s="94" t="s">
        <v>80</v>
      </c>
      <c r="C122" s="94"/>
      <c r="D122" s="94"/>
      <c r="E122" s="94" t="s">
        <v>408</v>
      </c>
      <c r="F122" s="107" t="s">
        <v>296</v>
      </c>
      <c r="G122" s="107">
        <v>1</v>
      </c>
      <c r="H122" s="98"/>
      <c r="I122" s="98" t="s">
        <v>720</v>
      </c>
      <c r="J122" s="98" t="s">
        <v>717</v>
      </c>
      <c r="K122" s="98" t="s">
        <v>704</v>
      </c>
      <c r="L122" s="74"/>
      <c r="M122" s="113">
        <v>45877</v>
      </c>
      <c r="N122" s="74"/>
      <c r="O122" s="98" t="s">
        <v>298</v>
      </c>
      <c r="P122" s="74"/>
      <c r="Q122" s="74"/>
      <c r="R122" s="74"/>
      <c r="S122" s="74"/>
      <c r="T122" s="74"/>
    </row>
    <row r="123" spans="1:20" ht="15">
      <c r="A123" s="94" t="s">
        <v>764</v>
      </c>
      <c r="B123" s="94" t="s">
        <v>80</v>
      </c>
      <c r="C123" s="94"/>
      <c r="D123" s="94"/>
      <c r="E123" s="94" t="s">
        <v>408</v>
      </c>
      <c r="F123" s="107" t="s">
        <v>296</v>
      </c>
      <c r="G123" s="107">
        <v>1</v>
      </c>
      <c r="H123" s="98"/>
      <c r="I123" s="98" t="s">
        <v>721</v>
      </c>
      <c r="J123" s="98" t="s">
        <v>717</v>
      </c>
      <c r="K123" s="98" t="s">
        <v>704</v>
      </c>
      <c r="L123" s="74"/>
      <c r="M123" s="113">
        <v>45877</v>
      </c>
      <c r="N123" s="74"/>
      <c r="O123" s="98" t="s">
        <v>298</v>
      </c>
      <c r="P123" s="74"/>
      <c r="Q123" s="74"/>
      <c r="R123" s="74"/>
      <c r="S123" s="74"/>
      <c r="T123" s="74"/>
    </row>
    <row r="124" spans="1:20" ht="15">
      <c r="A124" s="94" t="s">
        <v>765</v>
      </c>
      <c r="B124" s="94" t="s">
        <v>80</v>
      </c>
      <c r="C124" s="94"/>
      <c r="D124" s="94"/>
      <c r="E124" s="94" t="s">
        <v>443</v>
      </c>
      <c r="F124" s="107" t="s">
        <v>296</v>
      </c>
      <c r="G124" s="107">
        <v>1</v>
      </c>
      <c r="H124" s="98"/>
      <c r="I124" s="98" t="s">
        <v>117</v>
      </c>
      <c r="J124" s="98" t="s">
        <v>722</v>
      </c>
      <c r="K124" s="98" t="s">
        <v>704</v>
      </c>
      <c r="L124" s="74"/>
      <c r="M124" s="74"/>
      <c r="N124" s="74"/>
      <c r="O124" s="98" t="s">
        <v>298</v>
      </c>
      <c r="P124" s="74"/>
      <c r="Q124" s="74"/>
      <c r="R124" s="74"/>
      <c r="S124" s="74"/>
      <c r="T124" s="74"/>
    </row>
    <row r="125" spans="1:20" ht="15">
      <c r="A125" s="94" t="s">
        <v>766</v>
      </c>
      <c r="B125" s="94" t="s">
        <v>80</v>
      </c>
      <c r="C125" s="94"/>
      <c r="D125" s="94"/>
      <c r="E125" s="94" t="s">
        <v>443</v>
      </c>
      <c r="F125" s="107" t="s">
        <v>296</v>
      </c>
      <c r="G125" s="107">
        <v>1</v>
      </c>
      <c r="H125" s="98"/>
      <c r="I125" s="98" t="s">
        <v>723</v>
      </c>
      <c r="J125" s="98" t="s">
        <v>722</v>
      </c>
      <c r="K125" s="98" t="s">
        <v>704</v>
      </c>
      <c r="L125" s="74"/>
      <c r="M125" s="74"/>
      <c r="N125" s="74"/>
      <c r="O125" s="98" t="s">
        <v>298</v>
      </c>
      <c r="P125" s="74"/>
      <c r="Q125" s="74"/>
      <c r="R125" s="74"/>
      <c r="S125" s="74"/>
      <c r="T125" s="74"/>
    </row>
    <row r="126" spans="1:20" ht="15">
      <c r="A126" s="94" t="s">
        <v>767</v>
      </c>
      <c r="B126" s="94" t="s">
        <v>80</v>
      </c>
      <c r="C126" s="94"/>
      <c r="D126" s="94"/>
      <c r="E126" s="94" t="s">
        <v>443</v>
      </c>
      <c r="F126" s="107" t="s">
        <v>296</v>
      </c>
      <c r="G126" s="107">
        <v>1</v>
      </c>
      <c r="H126" s="98"/>
      <c r="I126" s="98" t="s">
        <v>724</v>
      </c>
      <c r="J126" s="98" t="s">
        <v>722</v>
      </c>
      <c r="K126" s="98" t="s">
        <v>704</v>
      </c>
      <c r="L126" s="74"/>
      <c r="M126" s="74"/>
      <c r="N126" s="74"/>
      <c r="O126" s="98" t="s">
        <v>298</v>
      </c>
      <c r="P126" s="74"/>
      <c r="Q126" s="74"/>
      <c r="R126" s="74"/>
      <c r="S126" s="74"/>
      <c r="T126" s="74"/>
    </row>
    <row r="127" spans="1:20" ht="15">
      <c r="A127" s="94" t="s">
        <v>768</v>
      </c>
      <c r="B127" s="94" t="s">
        <v>80</v>
      </c>
      <c r="C127" s="94"/>
      <c r="D127" s="94"/>
      <c r="E127" s="94" t="s">
        <v>443</v>
      </c>
      <c r="F127" s="107" t="s">
        <v>296</v>
      </c>
      <c r="G127" s="107">
        <v>1</v>
      </c>
      <c r="H127" s="98"/>
      <c r="I127" s="98" t="s">
        <v>234</v>
      </c>
      <c r="J127" s="98" t="s">
        <v>722</v>
      </c>
      <c r="K127" s="98" t="s">
        <v>704</v>
      </c>
      <c r="L127" s="74"/>
      <c r="M127" s="74"/>
      <c r="N127" s="74"/>
      <c r="O127" s="98" t="s">
        <v>298</v>
      </c>
      <c r="P127" s="74"/>
      <c r="Q127" s="74"/>
      <c r="R127" s="74"/>
      <c r="S127" s="74"/>
      <c r="T127" s="74"/>
    </row>
    <row r="128" spans="1:20" ht="15">
      <c r="A128" s="94" t="s">
        <v>769</v>
      </c>
      <c r="B128" s="94" t="s">
        <v>80</v>
      </c>
      <c r="C128" s="94"/>
      <c r="D128" s="94"/>
      <c r="E128" s="94" t="s">
        <v>443</v>
      </c>
      <c r="F128" s="107" t="s">
        <v>296</v>
      </c>
      <c r="G128" s="107">
        <v>1</v>
      </c>
      <c r="H128" s="98"/>
      <c r="I128" s="98" t="s">
        <v>725</v>
      </c>
      <c r="J128" s="98" t="s">
        <v>722</v>
      </c>
      <c r="K128" s="98" t="s">
        <v>704</v>
      </c>
      <c r="L128" s="74"/>
      <c r="M128" s="74"/>
      <c r="N128" s="74"/>
      <c r="O128" s="98" t="s">
        <v>298</v>
      </c>
      <c r="P128" s="74"/>
      <c r="Q128" s="74"/>
      <c r="R128" s="74"/>
      <c r="S128" s="74"/>
      <c r="T128" s="74"/>
    </row>
    <row r="129" spans="1:20" ht="15">
      <c r="A129" s="94" t="s">
        <v>770</v>
      </c>
      <c r="B129" s="94" t="s">
        <v>80</v>
      </c>
      <c r="C129" s="94"/>
      <c r="D129" s="94"/>
      <c r="E129" s="94" t="s">
        <v>443</v>
      </c>
      <c r="F129" s="107" t="s">
        <v>296</v>
      </c>
      <c r="G129" s="107">
        <v>1</v>
      </c>
      <c r="H129" s="98"/>
      <c r="I129" s="98" t="s">
        <v>726</v>
      </c>
      <c r="J129" s="98" t="s">
        <v>722</v>
      </c>
      <c r="K129" s="98" t="s">
        <v>704</v>
      </c>
      <c r="L129" s="74"/>
      <c r="M129" s="74"/>
      <c r="N129" s="74"/>
      <c r="O129" s="98" t="s">
        <v>298</v>
      </c>
      <c r="P129" s="74"/>
      <c r="Q129" s="74"/>
      <c r="R129" s="74"/>
      <c r="S129" s="74"/>
      <c r="T129" s="74"/>
    </row>
    <row r="130" spans="1:20" ht="15">
      <c r="A130" s="94" t="s">
        <v>771</v>
      </c>
      <c r="B130" s="94" t="s">
        <v>80</v>
      </c>
      <c r="C130" s="94"/>
      <c r="D130" s="94"/>
      <c r="E130" s="94" t="s">
        <v>443</v>
      </c>
      <c r="F130" s="107" t="s">
        <v>296</v>
      </c>
      <c r="G130" s="107">
        <v>1</v>
      </c>
      <c r="H130" s="98"/>
      <c r="I130" s="98" t="s">
        <v>727</v>
      </c>
      <c r="J130" s="98" t="s">
        <v>722</v>
      </c>
      <c r="K130" s="98" t="s">
        <v>704</v>
      </c>
      <c r="L130" s="74"/>
      <c r="M130" s="74"/>
      <c r="N130" s="74"/>
      <c r="O130" s="98" t="s">
        <v>298</v>
      </c>
      <c r="P130" s="74"/>
      <c r="Q130" s="74"/>
      <c r="R130" s="74"/>
      <c r="S130" s="74"/>
      <c r="T130" s="74"/>
    </row>
    <row r="131" spans="1:20" ht="15">
      <c r="A131" s="94" t="s">
        <v>483</v>
      </c>
      <c r="B131" s="94" t="s">
        <v>80</v>
      </c>
      <c r="C131" s="94"/>
      <c r="D131" s="94"/>
      <c r="E131" s="94" t="s">
        <v>728</v>
      </c>
      <c r="F131" s="107" t="s">
        <v>296</v>
      </c>
      <c r="G131" s="107">
        <v>1</v>
      </c>
      <c r="H131" s="98"/>
      <c r="I131" s="98" t="s">
        <v>231</v>
      </c>
      <c r="J131" s="98" t="s">
        <v>722</v>
      </c>
      <c r="K131" s="98" t="s">
        <v>704</v>
      </c>
      <c r="L131" s="74"/>
      <c r="M131" s="74"/>
      <c r="N131" s="74"/>
      <c r="O131" s="98" t="s">
        <v>298</v>
      </c>
      <c r="P131" s="74"/>
      <c r="Q131" s="74"/>
      <c r="R131" s="74"/>
      <c r="S131" s="74"/>
      <c r="T131" s="74"/>
    </row>
    <row r="132" spans="1:20" ht="15">
      <c r="A132" s="94" t="s">
        <v>548</v>
      </c>
      <c r="B132" s="94" t="s">
        <v>80</v>
      </c>
      <c r="C132" s="94"/>
      <c r="D132" s="94"/>
      <c r="E132" s="94" t="s">
        <v>728</v>
      </c>
      <c r="F132" s="107" t="s">
        <v>296</v>
      </c>
      <c r="G132" s="107">
        <v>1</v>
      </c>
      <c r="H132" s="98"/>
      <c r="I132" s="98" t="s">
        <v>119</v>
      </c>
      <c r="J132" s="98" t="s">
        <v>722</v>
      </c>
      <c r="K132" s="98" t="s">
        <v>704</v>
      </c>
      <c r="L132" s="74"/>
      <c r="M132" s="74"/>
      <c r="N132" s="74"/>
      <c r="O132" s="98" t="s">
        <v>298</v>
      </c>
      <c r="P132" s="74"/>
      <c r="Q132" s="74"/>
      <c r="R132" s="74"/>
      <c r="S132" s="74"/>
      <c r="T132" s="74"/>
    </row>
    <row r="133" spans="1:20" ht="15">
      <c r="A133" s="94" t="s">
        <v>551</v>
      </c>
      <c r="B133" s="94" t="s">
        <v>80</v>
      </c>
      <c r="C133" s="94"/>
      <c r="D133" s="94"/>
      <c r="E133" s="94" t="s">
        <v>728</v>
      </c>
      <c r="F133" s="107" t="s">
        <v>296</v>
      </c>
      <c r="G133" s="107">
        <v>1</v>
      </c>
      <c r="H133" s="98"/>
      <c r="I133" s="98" t="s">
        <v>729</v>
      </c>
      <c r="J133" s="98" t="s">
        <v>730</v>
      </c>
      <c r="K133" s="98" t="s">
        <v>704</v>
      </c>
      <c r="L133" s="74"/>
      <c r="M133" s="74"/>
      <c r="N133" s="74"/>
      <c r="O133" s="98"/>
      <c r="P133" s="74"/>
      <c r="Q133" s="74"/>
      <c r="R133" s="74"/>
      <c r="S133" s="74"/>
      <c r="T133" s="74"/>
    </row>
    <row r="134" spans="1:20" ht="15">
      <c r="A134" s="121" t="s">
        <v>772</v>
      </c>
      <c r="B134" s="121" t="s">
        <v>80</v>
      </c>
      <c r="C134" s="121"/>
      <c r="D134" s="121"/>
      <c r="E134" s="121" t="s">
        <v>295</v>
      </c>
      <c r="F134" s="106" t="s">
        <v>296</v>
      </c>
      <c r="G134" s="106">
        <v>1</v>
      </c>
      <c r="H134" s="121"/>
      <c r="I134" s="121"/>
      <c r="J134" s="121"/>
      <c r="K134" s="121"/>
      <c r="L134" s="121"/>
      <c r="M134" s="121"/>
      <c r="N134" s="121"/>
      <c r="O134" s="121" t="s">
        <v>564</v>
      </c>
      <c r="P134" s="121"/>
      <c r="Q134" s="121" t="s">
        <v>714</v>
      </c>
      <c r="R134" s="74"/>
      <c r="S134" s="74"/>
      <c r="T134" s="74"/>
    </row>
    <row r="135" spans="1:20" ht="15">
      <c r="A135" s="121" t="s">
        <v>773</v>
      </c>
      <c r="B135" s="121" t="s">
        <v>80</v>
      </c>
      <c r="C135" s="121"/>
      <c r="D135" s="121"/>
      <c r="E135" s="121" t="s">
        <v>295</v>
      </c>
      <c r="F135" s="106" t="s">
        <v>296</v>
      </c>
      <c r="G135" s="106">
        <v>1</v>
      </c>
      <c r="H135" s="121"/>
      <c r="I135" s="121"/>
      <c r="J135" s="121"/>
      <c r="K135" s="121"/>
      <c r="L135" s="121"/>
      <c r="M135" s="121"/>
      <c r="N135" s="121"/>
      <c r="O135" s="121" t="s">
        <v>564</v>
      </c>
      <c r="P135" s="121"/>
      <c r="Q135" s="121" t="s">
        <v>716</v>
      </c>
      <c r="R135" s="74"/>
      <c r="S135" s="74"/>
      <c r="T135" s="74"/>
    </row>
    <row r="136" spans="1:20" ht="15">
      <c r="A136" s="94" t="s">
        <v>438</v>
      </c>
      <c r="B136" s="94" t="s">
        <v>80</v>
      </c>
      <c r="C136" s="94"/>
      <c r="D136" s="94"/>
      <c r="E136" s="94" t="s">
        <v>373</v>
      </c>
      <c r="F136" s="107" t="s">
        <v>296</v>
      </c>
      <c r="G136" s="107">
        <v>1</v>
      </c>
      <c r="H136" s="98"/>
      <c r="I136" s="98" t="s">
        <v>632</v>
      </c>
      <c r="J136" s="98" t="s">
        <v>633</v>
      </c>
      <c r="K136" s="98" t="s">
        <v>704</v>
      </c>
      <c r="L136" s="74"/>
      <c r="M136" s="74"/>
      <c r="N136" s="74"/>
      <c r="O136" s="98" t="s">
        <v>298</v>
      </c>
      <c r="P136" s="74"/>
      <c r="Q136" s="74"/>
      <c r="R136" s="74"/>
      <c r="S136" s="74"/>
      <c r="T136" s="74"/>
    </row>
    <row r="137" spans="1:20" ht="15">
      <c r="A137" s="94" t="s">
        <v>186</v>
      </c>
      <c r="B137" s="94" t="s">
        <v>80</v>
      </c>
      <c r="C137" s="94"/>
      <c r="D137" s="94"/>
      <c r="E137" s="94" t="s">
        <v>373</v>
      </c>
      <c r="F137" s="107" t="s">
        <v>296</v>
      </c>
      <c r="G137" s="107">
        <v>1</v>
      </c>
      <c r="H137" s="98"/>
      <c r="I137" s="98"/>
      <c r="J137" s="98"/>
      <c r="K137" s="98"/>
      <c r="L137" s="74"/>
      <c r="M137" s="74"/>
      <c r="N137" s="74"/>
      <c r="O137" s="98" t="s">
        <v>564</v>
      </c>
      <c r="P137" s="74"/>
      <c r="Q137" s="74"/>
      <c r="R137" s="74"/>
      <c r="S137" s="74"/>
      <c r="T137" s="74"/>
    </row>
    <row r="138" spans="1:20" ht="15">
      <c r="A138" s="94" t="s">
        <v>774</v>
      </c>
      <c r="B138" s="94" t="s">
        <v>80</v>
      </c>
      <c r="C138" s="94"/>
      <c r="D138" s="94"/>
      <c r="E138" s="94" t="s">
        <v>408</v>
      </c>
      <c r="F138" s="107" t="s">
        <v>296</v>
      </c>
      <c r="G138" s="107">
        <v>1</v>
      </c>
      <c r="H138" s="98"/>
      <c r="I138" s="98"/>
      <c r="J138" s="98"/>
      <c r="K138" s="98"/>
      <c r="L138" s="74"/>
      <c r="M138" s="74"/>
      <c r="N138" s="74"/>
      <c r="O138" s="98" t="s">
        <v>564</v>
      </c>
      <c r="P138" s="74"/>
      <c r="Q138" s="74"/>
      <c r="R138" s="74"/>
      <c r="S138" s="74"/>
      <c r="T138" s="74"/>
    </row>
    <row r="139" spans="1:20" ht="15">
      <c r="A139" s="94" t="s">
        <v>775</v>
      </c>
      <c r="B139" s="94" t="s">
        <v>80</v>
      </c>
      <c r="C139" s="94"/>
      <c r="D139" s="94"/>
      <c r="E139" s="94"/>
      <c r="F139" s="107" t="s">
        <v>296</v>
      </c>
      <c r="G139" s="107">
        <v>1</v>
      </c>
      <c r="H139" s="98"/>
      <c r="I139" s="98"/>
      <c r="J139" s="98"/>
      <c r="K139" s="98"/>
      <c r="L139" s="74"/>
      <c r="M139" s="74"/>
      <c r="N139" s="74"/>
      <c r="O139" s="98"/>
      <c r="P139" s="74"/>
      <c r="Q139" s="74"/>
      <c r="R139" s="74"/>
      <c r="S139" s="74"/>
      <c r="T139" s="74"/>
    </row>
    <row r="140" spans="1:20" ht="15">
      <c r="A140" s="94" t="s">
        <v>776</v>
      </c>
      <c r="B140" s="94" t="s">
        <v>80</v>
      </c>
      <c r="C140" s="94"/>
      <c r="D140" s="94"/>
      <c r="E140" s="94"/>
      <c r="F140" s="107" t="s">
        <v>296</v>
      </c>
      <c r="G140" s="107">
        <v>1</v>
      </c>
      <c r="H140" s="98"/>
      <c r="I140" s="98"/>
      <c r="J140" s="98"/>
      <c r="K140" s="98"/>
      <c r="L140" s="74"/>
      <c r="M140" s="74"/>
      <c r="N140" s="74"/>
      <c r="O140" s="98"/>
      <c r="P140" s="74"/>
      <c r="Q140" s="74"/>
      <c r="R140" s="74"/>
      <c r="S140" s="74"/>
      <c r="T140" s="74"/>
    </row>
    <row r="141" spans="1:20" ht="15">
      <c r="A141" s="94" t="s">
        <v>777</v>
      </c>
      <c r="B141" s="94" t="s">
        <v>80</v>
      </c>
      <c r="C141" s="94"/>
      <c r="D141" s="94"/>
      <c r="E141" s="94"/>
      <c r="F141" s="107" t="s">
        <v>296</v>
      </c>
      <c r="G141" s="107">
        <v>1</v>
      </c>
      <c r="H141" s="98"/>
      <c r="I141" s="98"/>
      <c r="J141" s="98"/>
      <c r="K141" s="98"/>
      <c r="L141" s="74"/>
      <c r="M141" s="74"/>
      <c r="N141" s="74"/>
      <c r="O141" s="98"/>
      <c r="P141" s="74"/>
      <c r="Q141" s="74"/>
      <c r="R141" s="74"/>
      <c r="S141" s="74"/>
      <c r="T141" s="74"/>
    </row>
    <row r="142" spans="1:20" ht="15">
      <c r="A142" s="94" t="s">
        <v>778</v>
      </c>
      <c r="B142" s="94" t="s">
        <v>80</v>
      </c>
      <c r="C142" s="94"/>
      <c r="D142" s="94"/>
      <c r="E142" s="94"/>
      <c r="F142" s="107"/>
      <c r="G142" s="107"/>
      <c r="H142" s="98"/>
      <c r="I142" s="98"/>
      <c r="J142" s="98"/>
      <c r="K142" s="98"/>
      <c r="L142" s="74"/>
      <c r="M142" s="74"/>
      <c r="N142" s="74"/>
      <c r="O142" s="98"/>
      <c r="P142" s="74"/>
      <c r="Q142" s="74"/>
      <c r="R142" s="74"/>
      <c r="S142" s="74"/>
      <c r="T142" s="74"/>
    </row>
    <row r="143" spans="1:20" ht="15">
      <c r="A143" s="94" t="s">
        <v>779</v>
      </c>
      <c r="B143" s="94" t="s">
        <v>80</v>
      </c>
      <c r="C143" s="94"/>
      <c r="D143" s="94"/>
      <c r="E143" s="94"/>
      <c r="F143" s="107"/>
      <c r="G143" s="107"/>
      <c r="H143" s="98"/>
      <c r="I143" s="98"/>
      <c r="J143" s="98"/>
      <c r="K143" s="98"/>
      <c r="L143" s="74"/>
      <c r="M143" s="74"/>
      <c r="N143" s="74"/>
      <c r="O143" s="98"/>
      <c r="P143" s="74"/>
      <c r="Q143" s="74"/>
      <c r="R143" s="74"/>
      <c r="S143" s="74"/>
      <c r="T143" s="74"/>
    </row>
    <row r="144" spans="1:20" ht="15">
      <c r="A144" s="94" t="s">
        <v>780</v>
      </c>
      <c r="B144" s="94" t="s">
        <v>80</v>
      </c>
      <c r="C144" s="94"/>
      <c r="D144" s="94"/>
      <c r="E144" s="94"/>
      <c r="F144" s="107"/>
      <c r="G144" s="107"/>
      <c r="H144" s="98"/>
      <c r="I144" s="98"/>
      <c r="J144" s="98"/>
      <c r="K144" s="98"/>
      <c r="L144" s="74"/>
      <c r="M144" s="74"/>
      <c r="N144" s="74"/>
      <c r="O144" s="98"/>
      <c r="P144" s="74"/>
      <c r="Q144" s="74"/>
      <c r="R144" s="74"/>
      <c r="S144" s="74"/>
      <c r="T144" s="74"/>
    </row>
    <row r="145" spans="1:20" ht="15">
      <c r="A145" s="94" t="s">
        <v>781</v>
      </c>
      <c r="B145" s="94" t="s">
        <v>80</v>
      </c>
      <c r="C145" s="94"/>
      <c r="D145" s="94"/>
      <c r="E145" s="94"/>
      <c r="F145" s="107"/>
      <c r="G145" s="107"/>
      <c r="H145" s="98"/>
      <c r="I145" s="98"/>
      <c r="J145" s="98"/>
      <c r="K145" s="98"/>
      <c r="L145" s="74"/>
      <c r="M145" s="74"/>
      <c r="N145" s="74"/>
      <c r="O145" s="98"/>
      <c r="P145" s="74"/>
      <c r="Q145" s="74"/>
      <c r="R145" s="74"/>
      <c r="S145" s="74"/>
      <c r="T145" s="74"/>
    </row>
    <row r="146" spans="1:20" ht="15">
      <c r="A146" s="94" t="s">
        <v>782</v>
      </c>
      <c r="B146" s="94" t="s">
        <v>80</v>
      </c>
      <c r="C146" s="94"/>
      <c r="D146" s="94"/>
      <c r="E146" s="94"/>
      <c r="F146" s="107"/>
      <c r="G146" s="107"/>
      <c r="H146" s="98"/>
      <c r="I146" s="98"/>
      <c r="J146" s="98"/>
      <c r="K146" s="98"/>
      <c r="L146" s="74"/>
      <c r="M146" s="74"/>
      <c r="N146" s="74"/>
      <c r="O146" s="98"/>
      <c r="P146" s="74"/>
      <c r="Q146" s="74"/>
      <c r="R146" s="74"/>
      <c r="S146" s="74"/>
      <c r="T146" s="74"/>
    </row>
    <row r="147" spans="1:20" ht="15">
      <c r="A147" s="94" t="s">
        <v>432</v>
      </c>
      <c r="B147" s="94" t="s">
        <v>80</v>
      </c>
      <c r="C147" s="94"/>
      <c r="D147" s="94"/>
      <c r="E147" s="94"/>
      <c r="F147" s="107"/>
      <c r="G147" s="107"/>
      <c r="H147" s="98"/>
      <c r="I147" s="98"/>
      <c r="J147" s="98"/>
      <c r="K147" s="98"/>
      <c r="L147" s="74"/>
      <c r="M147" s="74"/>
      <c r="N147" s="74"/>
      <c r="O147" s="98"/>
      <c r="P147" s="74"/>
      <c r="Q147" s="74"/>
      <c r="R147" s="74"/>
      <c r="S147" s="74"/>
      <c r="T147" s="74"/>
    </row>
    <row r="148" spans="1:20" ht="15">
      <c r="A148" s="94" t="s">
        <v>321</v>
      </c>
      <c r="B148" s="94" t="s">
        <v>80</v>
      </c>
      <c r="C148" s="94"/>
      <c r="D148" s="94"/>
      <c r="E148" s="94"/>
      <c r="F148" s="107"/>
      <c r="G148" s="107"/>
      <c r="H148" s="98"/>
      <c r="I148" s="98"/>
      <c r="J148" s="98"/>
      <c r="K148" s="98"/>
      <c r="L148" s="74"/>
      <c r="M148" s="74"/>
      <c r="N148" s="74"/>
      <c r="O148" s="98"/>
      <c r="P148" s="74"/>
      <c r="Q148" s="74"/>
      <c r="R148" s="74"/>
      <c r="S148" s="74"/>
      <c r="T148" s="74"/>
    </row>
    <row r="149" spans="1:20" ht="15">
      <c r="A149" s="94" t="s">
        <v>783</v>
      </c>
      <c r="B149" s="94" t="s">
        <v>80</v>
      </c>
      <c r="C149" s="94"/>
      <c r="D149" s="94"/>
      <c r="E149" s="94"/>
      <c r="F149" s="107"/>
      <c r="G149" s="107"/>
      <c r="H149" s="98"/>
      <c r="I149" s="98"/>
      <c r="J149" s="98"/>
      <c r="K149" s="98"/>
      <c r="L149" s="74"/>
      <c r="M149" s="74"/>
      <c r="N149" s="74"/>
      <c r="O149" s="98"/>
      <c r="P149" s="74"/>
      <c r="Q149" s="74"/>
      <c r="R149" s="74"/>
      <c r="S149" s="74"/>
      <c r="T149" s="74"/>
    </row>
    <row r="150" spans="1:20" ht="15">
      <c r="A150" s="94" t="s">
        <v>784</v>
      </c>
      <c r="B150" s="94" t="s">
        <v>80</v>
      </c>
      <c r="C150" s="94"/>
      <c r="D150" s="94"/>
      <c r="E150" s="94"/>
      <c r="F150" s="107"/>
      <c r="G150" s="107"/>
      <c r="H150" s="98"/>
      <c r="I150" s="98"/>
      <c r="J150" s="98"/>
      <c r="K150" s="98"/>
      <c r="L150" s="74"/>
      <c r="M150" s="74"/>
      <c r="N150" s="74"/>
      <c r="O150" s="98"/>
      <c r="P150" s="74"/>
      <c r="Q150" s="74"/>
      <c r="R150" s="74"/>
      <c r="S150" s="74"/>
      <c r="T150" s="74"/>
    </row>
    <row r="151" spans="1:20" ht="15">
      <c r="A151" s="94"/>
      <c r="B151" s="94"/>
      <c r="C151" s="94"/>
      <c r="D151" s="94"/>
      <c r="E151" s="94"/>
      <c r="F151" s="107"/>
      <c r="G151" s="107"/>
      <c r="H151" s="98"/>
      <c r="I151" s="98"/>
      <c r="J151" s="98"/>
      <c r="K151" s="98"/>
      <c r="L151" s="74"/>
      <c r="M151" s="74"/>
      <c r="N151" s="74"/>
      <c r="O151" s="98"/>
      <c r="P151" s="74"/>
      <c r="Q151" s="74"/>
      <c r="R151" s="74"/>
      <c r="S151" s="74"/>
      <c r="T151" s="74"/>
    </row>
    <row r="152" spans="1:20" ht="15">
      <c r="A152" s="105" t="s">
        <v>785</v>
      </c>
      <c r="B152" s="105" t="s">
        <v>79</v>
      </c>
      <c r="C152" s="105" t="s">
        <v>786</v>
      </c>
      <c r="D152" s="105" t="s">
        <v>786</v>
      </c>
      <c r="E152" s="105" t="s">
        <v>705</v>
      </c>
      <c r="F152" s="106" t="s">
        <v>296</v>
      </c>
      <c r="G152" s="106">
        <v>1</v>
      </c>
      <c r="H152" s="98"/>
      <c r="I152" s="98" t="s">
        <v>115</v>
      </c>
      <c r="J152" s="98" t="s">
        <v>706</v>
      </c>
      <c r="K152" s="98" t="s">
        <v>704</v>
      </c>
      <c r="L152" s="112"/>
      <c r="M152" s="113">
        <v>45877</v>
      </c>
      <c r="N152" s="74"/>
      <c r="O152" s="98" t="s">
        <v>298</v>
      </c>
      <c r="P152" s="74"/>
      <c r="Q152" s="74"/>
      <c r="R152" s="76"/>
      <c r="S152" s="76"/>
      <c r="T152" s="76"/>
    </row>
    <row r="153" spans="1:20" ht="14.25" customHeight="1">
      <c r="A153" s="105" t="s">
        <v>511</v>
      </c>
      <c r="B153" s="105" t="s">
        <v>79</v>
      </c>
      <c r="C153" s="105" t="s">
        <v>786</v>
      </c>
      <c r="D153" s="105" t="s">
        <v>786</v>
      </c>
      <c r="E153" s="105" t="s">
        <v>492</v>
      </c>
      <c r="F153" s="106" t="s">
        <v>296</v>
      </c>
      <c r="G153" s="106">
        <v>1</v>
      </c>
      <c r="H153" s="98"/>
      <c r="I153" s="98" t="s">
        <v>707</v>
      </c>
      <c r="J153" s="98" t="s">
        <v>637</v>
      </c>
      <c r="K153" s="98" t="s">
        <v>704</v>
      </c>
      <c r="L153" s="112"/>
      <c r="M153" s="113">
        <v>45877</v>
      </c>
      <c r="N153" s="74"/>
      <c r="O153" s="98" t="s">
        <v>298</v>
      </c>
      <c r="P153" s="76"/>
      <c r="Q153" s="76"/>
      <c r="R153" s="76"/>
      <c r="S153" s="76"/>
      <c r="T153" s="76"/>
    </row>
    <row r="154" spans="1:20" ht="14.25" customHeight="1">
      <c r="A154" s="105" t="s">
        <v>518</v>
      </c>
      <c r="B154" s="105" t="s">
        <v>79</v>
      </c>
      <c r="C154" s="105" t="s">
        <v>787</v>
      </c>
      <c r="D154" s="105" t="s">
        <v>788</v>
      </c>
      <c r="E154" s="105" t="s">
        <v>492</v>
      </c>
      <c r="F154" s="106" t="s">
        <v>296</v>
      </c>
      <c r="G154" s="106">
        <v>1</v>
      </c>
      <c r="H154" s="98"/>
      <c r="I154" s="98" t="s">
        <v>209</v>
      </c>
      <c r="J154" s="98" t="s">
        <v>637</v>
      </c>
      <c r="K154" s="98" t="s">
        <v>704</v>
      </c>
      <c r="L154" s="112"/>
      <c r="M154" s="113">
        <v>45877</v>
      </c>
      <c r="N154" s="74"/>
      <c r="O154" s="98" t="s">
        <v>298</v>
      </c>
      <c r="P154" s="76"/>
      <c r="Q154" s="76"/>
      <c r="R154" s="76"/>
      <c r="S154" s="76"/>
      <c r="T154" s="76"/>
    </row>
    <row r="155" spans="1:20" ht="14.25" customHeight="1">
      <c r="A155" s="105" t="s">
        <v>524</v>
      </c>
      <c r="B155" s="105" t="s">
        <v>79</v>
      </c>
      <c r="C155" s="105" t="s">
        <v>754</v>
      </c>
      <c r="D155" s="105" t="s">
        <v>789</v>
      </c>
      <c r="E155" s="105" t="s">
        <v>492</v>
      </c>
      <c r="F155" s="106" t="s">
        <v>296</v>
      </c>
      <c r="G155" s="106">
        <v>1</v>
      </c>
      <c r="H155" s="98"/>
      <c r="I155" s="98" t="s">
        <v>708</v>
      </c>
      <c r="J155" s="98" t="s">
        <v>637</v>
      </c>
      <c r="K155" s="98" t="s">
        <v>704</v>
      </c>
      <c r="L155" s="112"/>
      <c r="M155" s="113">
        <v>45877</v>
      </c>
      <c r="N155" s="74"/>
      <c r="O155" s="98" t="s">
        <v>298</v>
      </c>
      <c r="P155" s="76"/>
      <c r="Q155" s="76"/>
      <c r="R155" s="98"/>
      <c r="S155" s="76"/>
      <c r="T155" s="76"/>
    </row>
    <row r="156" spans="1:20" ht="14.25" customHeight="1">
      <c r="A156" s="105" t="s">
        <v>502</v>
      </c>
      <c r="B156" s="105" t="s">
        <v>79</v>
      </c>
      <c r="C156" s="105"/>
      <c r="D156" s="105"/>
      <c r="E156" s="105" t="s">
        <v>492</v>
      </c>
      <c r="F156" s="106" t="s">
        <v>296</v>
      </c>
      <c r="G156" s="106">
        <v>1</v>
      </c>
      <c r="H156" s="99"/>
      <c r="I156" s="98" t="s">
        <v>709</v>
      </c>
      <c r="J156" s="98" t="s">
        <v>637</v>
      </c>
      <c r="K156" s="98" t="s">
        <v>704</v>
      </c>
      <c r="L156" s="112"/>
      <c r="M156" s="113">
        <v>45877</v>
      </c>
      <c r="N156" s="74"/>
      <c r="O156" s="98" t="s">
        <v>298</v>
      </c>
      <c r="P156" s="76"/>
      <c r="Q156" s="76"/>
      <c r="R156" s="98"/>
      <c r="S156" s="76"/>
      <c r="T156" s="76"/>
    </row>
    <row r="157" spans="1:20" ht="14.25" customHeight="1">
      <c r="A157" s="105" t="s">
        <v>496</v>
      </c>
      <c r="B157" s="105" t="s">
        <v>79</v>
      </c>
      <c r="C157" s="105"/>
      <c r="D157" s="105"/>
      <c r="E157" s="105" t="s">
        <v>492</v>
      </c>
      <c r="F157" s="106" t="s">
        <v>296</v>
      </c>
      <c r="G157" s="106">
        <v>1</v>
      </c>
      <c r="H157" s="99"/>
      <c r="I157" s="98" t="s">
        <v>710</v>
      </c>
      <c r="J157" s="98" t="s">
        <v>637</v>
      </c>
      <c r="K157" s="98" t="s">
        <v>704</v>
      </c>
      <c r="L157" s="112"/>
      <c r="M157" s="113">
        <v>45877</v>
      </c>
      <c r="N157" s="74"/>
      <c r="O157" s="98" t="s">
        <v>298</v>
      </c>
      <c r="P157" s="76"/>
      <c r="Q157" s="76"/>
      <c r="R157" s="76"/>
      <c r="S157" s="76"/>
      <c r="T157" s="76"/>
    </row>
    <row r="158" spans="1:20" ht="14.25" customHeight="1">
      <c r="A158" s="105" t="s">
        <v>362</v>
      </c>
      <c r="B158" s="105" t="s">
        <v>79</v>
      </c>
      <c r="C158" s="105"/>
      <c r="D158" s="105"/>
      <c r="E158" s="105" t="s">
        <v>492</v>
      </c>
      <c r="F158" s="106" t="s">
        <v>296</v>
      </c>
      <c r="G158" s="106">
        <v>1</v>
      </c>
      <c r="H158" s="99"/>
      <c r="I158" s="99" t="s">
        <v>109</v>
      </c>
      <c r="J158" s="98" t="s">
        <v>637</v>
      </c>
      <c r="K158" s="98" t="s">
        <v>704</v>
      </c>
      <c r="L158" s="112"/>
      <c r="M158" s="113">
        <v>45877</v>
      </c>
      <c r="N158" s="74"/>
      <c r="O158" s="98" t="s">
        <v>298</v>
      </c>
      <c r="P158" s="76"/>
      <c r="Q158" s="76"/>
      <c r="R158" s="76"/>
      <c r="S158" s="76"/>
      <c r="T158" s="76"/>
    </row>
    <row r="159" spans="1:20" ht="14.25" customHeight="1">
      <c r="A159" s="105" t="s">
        <v>790</v>
      </c>
      <c r="B159" s="105" t="s">
        <v>79</v>
      </c>
      <c r="C159" s="105"/>
      <c r="D159" s="105"/>
      <c r="E159" s="105" t="s">
        <v>373</v>
      </c>
      <c r="F159" s="106" t="s">
        <v>296</v>
      </c>
      <c r="G159" s="106">
        <v>1</v>
      </c>
      <c r="H159" s="99"/>
      <c r="I159" s="99" t="s">
        <v>632</v>
      </c>
      <c r="J159" s="99" t="s">
        <v>633</v>
      </c>
      <c r="K159" s="98" t="s">
        <v>704</v>
      </c>
      <c r="L159" s="76"/>
      <c r="M159" s="113">
        <v>45877</v>
      </c>
      <c r="N159" s="76"/>
      <c r="O159" s="98" t="s">
        <v>298</v>
      </c>
      <c r="P159" s="76"/>
      <c r="Q159" s="76"/>
      <c r="R159" s="76"/>
      <c r="S159" s="76"/>
      <c r="T159" s="76"/>
    </row>
    <row r="160" spans="1:20" ht="14.25" customHeight="1">
      <c r="A160" s="105" t="s">
        <v>791</v>
      </c>
      <c r="B160" s="105" t="s">
        <v>79</v>
      </c>
      <c r="C160" s="105"/>
      <c r="D160" s="105"/>
      <c r="E160" s="105"/>
      <c r="F160" s="106" t="s">
        <v>296</v>
      </c>
      <c r="G160" s="106">
        <v>1</v>
      </c>
      <c r="H160" s="99"/>
      <c r="I160" s="99"/>
      <c r="J160" s="99"/>
      <c r="K160" s="99"/>
      <c r="L160" s="76"/>
      <c r="M160" s="76"/>
      <c r="N160" s="76"/>
      <c r="O160" s="99"/>
      <c r="P160" s="76"/>
      <c r="Q160" s="76"/>
      <c r="R160" s="76"/>
      <c r="S160" s="76"/>
      <c r="T160" s="76"/>
    </row>
    <row r="161" spans="1:20" ht="14.25" customHeight="1">
      <c r="A161" s="105" t="s">
        <v>301</v>
      </c>
      <c r="B161" s="105" t="s">
        <v>79</v>
      </c>
      <c r="C161" s="105"/>
      <c r="D161" s="105"/>
      <c r="E161" s="105"/>
      <c r="F161" s="106" t="s">
        <v>296</v>
      </c>
      <c r="G161" s="106">
        <v>1</v>
      </c>
      <c r="H161" s="99"/>
      <c r="I161" s="99"/>
      <c r="J161" s="99"/>
      <c r="K161" s="99"/>
      <c r="L161" s="76"/>
      <c r="M161" s="76"/>
      <c r="N161" s="76"/>
      <c r="O161" s="99"/>
      <c r="P161" s="76"/>
      <c r="Q161" s="76"/>
      <c r="R161" s="76"/>
      <c r="S161" s="76"/>
      <c r="T161" s="76"/>
    </row>
    <row r="162" spans="1:20" ht="14.25" customHeight="1">
      <c r="A162" s="105" t="s">
        <v>792</v>
      </c>
      <c r="B162" s="105" t="s">
        <v>79</v>
      </c>
      <c r="C162" s="105"/>
      <c r="D162" s="105"/>
      <c r="E162" s="105"/>
      <c r="F162" s="106" t="s">
        <v>296</v>
      </c>
      <c r="G162" s="106">
        <v>1</v>
      </c>
      <c r="H162" s="99"/>
      <c r="I162" s="99"/>
      <c r="J162" s="99"/>
      <c r="K162" s="99"/>
      <c r="L162" s="76"/>
      <c r="M162" s="76"/>
      <c r="N162" s="76"/>
      <c r="O162" s="99"/>
      <c r="P162" s="76"/>
      <c r="Q162" s="76"/>
      <c r="R162" s="76"/>
      <c r="S162" s="76"/>
      <c r="T162" s="76"/>
    </row>
    <row r="163" spans="1:20" ht="14.25" customHeight="1">
      <c r="A163" s="105" t="s">
        <v>352</v>
      </c>
      <c r="B163" s="105" t="s">
        <v>79</v>
      </c>
      <c r="C163" s="105"/>
      <c r="D163" s="105"/>
      <c r="E163" s="105" t="s">
        <v>345</v>
      </c>
      <c r="F163" s="106" t="s">
        <v>296</v>
      </c>
      <c r="G163" s="106">
        <v>1</v>
      </c>
      <c r="H163" s="99"/>
      <c r="I163" s="99" t="s">
        <v>195</v>
      </c>
      <c r="J163" s="99" t="s">
        <v>635</v>
      </c>
      <c r="K163" s="99" t="s">
        <v>704</v>
      </c>
      <c r="L163" s="76"/>
      <c r="M163" s="113">
        <v>45877</v>
      </c>
      <c r="N163" s="76"/>
      <c r="O163" s="99" t="s">
        <v>298</v>
      </c>
      <c r="P163" s="76"/>
      <c r="Q163" s="76"/>
      <c r="R163" s="76"/>
      <c r="S163" s="76"/>
      <c r="T163" s="76"/>
    </row>
    <row r="164" spans="1:20" ht="14.25" customHeight="1">
      <c r="A164" s="105" t="s">
        <v>357</v>
      </c>
      <c r="B164" s="105" t="s">
        <v>79</v>
      </c>
      <c r="C164" s="105"/>
      <c r="D164" s="105"/>
      <c r="E164" s="105" t="s">
        <v>345</v>
      </c>
      <c r="F164" s="106" t="s">
        <v>296</v>
      </c>
      <c r="G164" s="106">
        <v>1</v>
      </c>
      <c r="H164" s="99"/>
      <c r="I164" s="98" t="s">
        <v>201</v>
      </c>
      <c r="J164" s="98" t="s">
        <v>635</v>
      </c>
      <c r="K164" s="98" t="s">
        <v>704</v>
      </c>
      <c r="L164" s="74"/>
      <c r="M164" s="113">
        <v>45877</v>
      </c>
      <c r="N164" s="74"/>
      <c r="O164" s="98" t="s">
        <v>298</v>
      </c>
      <c r="P164" s="76"/>
      <c r="Q164" s="76"/>
      <c r="R164" s="76"/>
      <c r="S164" s="76"/>
      <c r="T164" s="76"/>
    </row>
    <row r="165" spans="1:20" ht="14.25" customHeight="1">
      <c r="A165" s="105" t="s">
        <v>439</v>
      </c>
      <c r="B165" s="105" t="s">
        <v>79</v>
      </c>
      <c r="C165" s="105"/>
      <c r="D165" s="105"/>
      <c r="E165" s="105"/>
      <c r="F165" s="106" t="s">
        <v>296</v>
      </c>
      <c r="G165" s="106">
        <v>1</v>
      </c>
      <c r="H165" s="99"/>
      <c r="I165" s="99"/>
      <c r="J165" s="99"/>
      <c r="K165" s="99"/>
      <c r="L165" s="76"/>
      <c r="M165" s="76"/>
      <c r="N165" s="76"/>
      <c r="O165" s="99"/>
      <c r="P165" s="76"/>
      <c r="Q165" s="76"/>
      <c r="R165" s="76"/>
      <c r="S165" s="76"/>
      <c r="T165" s="76"/>
    </row>
    <row r="166" spans="1:20" ht="14.25" customHeight="1">
      <c r="A166" s="105" t="s">
        <v>793</v>
      </c>
      <c r="B166" s="105" t="s">
        <v>79</v>
      </c>
      <c r="C166" s="105"/>
      <c r="D166" s="105"/>
      <c r="E166" s="105" t="s">
        <v>373</v>
      </c>
      <c r="F166" s="106" t="s">
        <v>296</v>
      </c>
      <c r="G166" s="106">
        <v>1</v>
      </c>
      <c r="H166" s="99"/>
      <c r="I166" s="98" t="s">
        <v>161</v>
      </c>
      <c r="J166" s="98" t="s">
        <v>633</v>
      </c>
      <c r="K166" s="98" t="s">
        <v>704</v>
      </c>
      <c r="L166" s="74"/>
      <c r="M166" s="113">
        <v>45877</v>
      </c>
      <c r="N166" s="74"/>
      <c r="O166" s="98" t="s">
        <v>298</v>
      </c>
      <c r="P166" s="76"/>
      <c r="Q166" s="76"/>
      <c r="R166" s="76"/>
      <c r="S166" s="76"/>
      <c r="T166" s="76"/>
    </row>
    <row r="167" spans="1:20" ht="14.25" customHeight="1">
      <c r="A167" s="105" t="s">
        <v>392</v>
      </c>
      <c r="B167" s="105" t="s">
        <v>79</v>
      </c>
      <c r="C167" s="105"/>
      <c r="D167" s="105"/>
      <c r="E167" s="105" t="s">
        <v>373</v>
      </c>
      <c r="F167" s="106" t="s">
        <v>296</v>
      </c>
      <c r="G167" s="106">
        <v>1</v>
      </c>
      <c r="H167" s="99"/>
      <c r="I167" s="98" t="s">
        <v>715</v>
      </c>
      <c r="J167" s="98" t="s">
        <v>633</v>
      </c>
      <c r="K167" s="98" t="s">
        <v>704</v>
      </c>
      <c r="L167" s="74"/>
      <c r="M167" s="113">
        <v>45877</v>
      </c>
      <c r="N167" s="74"/>
      <c r="O167" s="98" t="s">
        <v>298</v>
      </c>
      <c r="P167" s="76"/>
      <c r="Q167" s="76"/>
      <c r="R167" s="76"/>
      <c r="S167" s="76"/>
      <c r="T167" s="76"/>
    </row>
    <row r="168" spans="1:20" ht="14.25" customHeight="1">
      <c r="A168" s="105" t="s">
        <v>794</v>
      </c>
      <c r="B168" s="105" t="s">
        <v>79</v>
      </c>
      <c r="C168" s="105"/>
      <c r="D168" s="105"/>
      <c r="E168" s="105"/>
      <c r="F168" s="106" t="s">
        <v>296</v>
      </c>
      <c r="G168" s="106">
        <v>1</v>
      </c>
      <c r="H168" s="99"/>
      <c r="I168" s="99"/>
      <c r="J168" s="99"/>
      <c r="K168" s="99"/>
      <c r="L168" s="76"/>
      <c r="M168" s="76"/>
      <c r="N168" s="76"/>
      <c r="O168" s="99"/>
      <c r="P168" s="76"/>
      <c r="Q168" s="76"/>
      <c r="R168" s="76"/>
      <c r="S168" s="76"/>
      <c r="T168" s="76"/>
    </row>
    <row r="169" spans="1:20" ht="14.25" customHeight="1">
      <c r="A169" s="105" t="s">
        <v>795</v>
      </c>
      <c r="B169" s="105" t="s">
        <v>79</v>
      </c>
      <c r="C169" s="105"/>
      <c r="D169" s="105"/>
      <c r="E169" s="105" t="s">
        <v>408</v>
      </c>
      <c r="F169" s="106" t="s">
        <v>296</v>
      </c>
      <c r="G169" s="106">
        <v>1</v>
      </c>
      <c r="H169" s="99"/>
      <c r="I169" s="98" t="s">
        <v>135</v>
      </c>
      <c r="J169" s="98" t="s">
        <v>717</v>
      </c>
      <c r="K169" s="98" t="s">
        <v>704</v>
      </c>
      <c r="L169" s="74"/>
      <c r="M169" s="113">
        <v>45877</v>
      </c>
      <c r="N169" s="74"/>
      <c r="O169" s="98" t="s">
        <v>298</v>
      </c>
      <c r="P169" s="76"/>
      <c r="Q169" s="76"/>
      <c r="R169" s="76"/>
      <c r="S169" s="76"/>
      <c r="T169" s="76"/>
    </row>
    <row r="170" spans="1:20" ht="14.25" customHeight="1">
      <c r="A170" s="105" t="s">
        <v>796</v>
      </c>
      <c r="B170" s="105" t="s">
        <v>79</v>
      </c>
      <c r="C170" s="105"/>
      <c r="D170" s="105"/>
      <c r="E170" s="105" t="s">
        <v>408</v>
      </c>
      <c r="F170" s="106" t="s">
        <v>296</v>
      </c>
      <c r="G170" s="106">
        <v>1</v>
      </c>
      <c r="H170" s="99"/>
      <c r="I170" s="98" t="s">
        <v>718</v>
      </c>
      <c r="J170" s="98" t="s">
        <v>717</v>
      </c>
      <c r="K170" s="98" t="s">
        <v>704</v>
      </c>
      <c r="L170" s="74"/>
      <c r="M170" s="113">
        <v>45877</v>
      </c>
      <c r="N170" s="74"/>
      <c r="O170" s="98" t="s">
        <v>298</v>
      </c>
      <c r="P170" s="76"/>
      <c r="Q170" s="76"/>
      <c r="R170" s="76"/>
      <c r="S170" s="76"/>
      <c r="T170" s="76"/>
    </row>
    <row r="171" spans="1:20" ht="14.25" customHeight="1">
      <c r="A171" s="105" t="s">
        <v>427</v>
      </c>
      <c r="B171" s="105" t="s">
        <v>79</v>
      </c>
      <c r="C171" s="105"/>
      <c r="D171" s="105"/>
      <c r="E171" s="105" t="s">
        <v>408</v>
      </c>
      <c r="F171" s="106" t="s">
        <v>296</v>
      </c>
      <c r="G171" s="106">
        <v>1</v>
      </c>
      <c r="H171" s="99"/>
      <c r="I171" s="98" t="s">
        <v>719</v>
      </c>
      <c r="J171" s="98" t="s">
        <v>717</v>
      </c>
      <c r="K171" s="98" t="s">
        <v>704</v>
      </c>
      <c r="L171" s="74"/>
      <c r="M171" s="113">
        <v>45877</v>
      </c>
      <c r="N171" s="74"/>
      <c r="O171" s="98" t="s">
        <v>298</v>
      </c>
      <c r="P171" s="76"/>
      <c r="Q171" s="76"/>
      <c r="R171" s="76"/>
      <c r="S171" s="76"/>
      <c r="T171" s="76"/>
    </row>
    <row r="172" spans="1:20" ht="14.25" customHeight="1">
      <c r="A172" s="105" t="s">
        <v>530</v>
      </c>
      <c r="B172" s="105" t="s">
        <v>79</v>
      </c>
      <c r="C172" s="105"/>
      <c r="D172" s="105"/>
      <c r="E172" s="105" t="s">
        <v>408</v>
      </c>
      <c r="F172" s="106" t="s">
        <v>296</v>
      </c>
      <c r="G172" s="106">
        <v>1</v>
      </c>
      <c r="H172" s="99"/>
      <c r="I172" s="98" t="s">
        <v>720</v>
      </c>
      <c r="J172" s="98" t="s">
        <v>717</v>
      </c>
      <c r="K172" s="98" t="s">
        <v>704</v>
      </c>
      <c r="L172" s="74"/>
      <c r="M172" s="113">
        <v>45877</v>
      </c>
      <c r="N172" s="74"/>
      <c r="O172" s="98" t="s">
        <v>298</v>
      </c>
      <c r="P172" s="76"/>
      <c r="Q172" s="76"/>
      <c r="R172" s="76"/>
      <c r="S172" s="76"/>
      <c r="T172" s="76"/>
    </row>
    <row r="173" spans="1:20" ht="14.25" customHeight="1">
      <c r="A173" s="105" t="s">
        <v>563</v>
      </c>
      <c r="B173" s="105" t="s">
        <v>79</v>
      </c>
      <c r="C173" s="105"/>
      <c r="D173" s="105"/>
      <c r="E173" s="105" t="s">
        <v>408</v>
      </c>
      <c r="F173" s="106" t="s">
        <v>296</v>
      </c>
      <c r="G173" s="106">
        <v>1</v>
      </c>
      <c r="H173" s="99"/>
      <c r="I173" s="98" t="s">
        <v>721</v>
      </c>
      <c r="J173" s="98" t="s">
        <v>717</v>
      </c>
      <c r="K173" s="98" t="s">
        <v>704</v>
      </c>
      <c r="L173" s="74"/>
      <c r="M173" s="113">
        <v>45877</v>
      </c>
      <c r="N173" s="74"/>
      <c r="O173" s="98" t="s">
        <v>298</v>
      </c>
      <c r="P173" s="76"/>
      <c r="Q173" s="76"/>
      <c r="R173" s="76"/>
      <c r="S173" s="76"/>
      <c r="T173" s="76"/>
    </row>
    <row r="174" spans="1:20" ht="14.25" customHeight="1">
      <c r="A174" s="105" t="s">
        <v>797</v>
      </c>
      <c r="B174" s="105" t="s">
        <v>79</v>
      </c>
      <c r="C174" s="105"/>
      <c r="D174" s="105"/>
      <c r="E174" s="105" t="s">
        <v>443</v>
      </c>
      <c r="F174" s="106" t="s">
        <v>296</v>
      </c>
      <c r="G174" s="106">
        <v>1</v>
      </c>
      <c r="H174" s="99"/>
      <c r="I174" s="99" t="s">
        <v>117</v>
      </c>
      <c r="J174" s="99" t="s">
        <v>722</v>
      </c>
      <c r="K174" s="98" t="s">
        <v>704</v>
      </c>
      <c r="L174" s="76"/>
      <c r="M174" s="76"/>
      <c r="N174" s="76"/>
      <c r="O174" s="98" t="s">
        <v>298</v>
      </c>
      <c r="P174" s="76"/>
      <c r="Q174" s="76"/>
      <c r="R174" s="76"/>
      <c r="S174" s="76"/>
      <c r="T174" s="76"/>
    </row>
    <row r="175" spans="1:20" ht="14.25" customHeight="1">
      <c r="A175" s="105" t="s">
        <v>798</v>
      </c>
      <c r="B175" s="105" t="s">
        <v>79</v>
      </c>
      <c r="C175" s="105"/>
      <c r="D175" s="105"/>
      <c r="E175" s="105" t="s">
        <v>443</v>
      </c>
      <c r="F175" s="106" t="s">
        <v>296</v>
      </c>
      <c r="G175" s="106">
        <v>1</v>
      </c>
      <c r="H175" s="99"/>
      <c r="I175" s="99" t="s">
        <v>723</v>
      </c>
      <c r="J175" s="99" t="s">
        <v>722</v>
      </c>
      <c r="K175" s="98" t="s">
        <v>704</v>
      </c>
      <c r="L175" s="76"/>
      <c r="M175" s="76"/>
      <c r="N175" s="76"/>
      <c r="O175" s="98" t="s">
        <v>298</v>
      </c>
      <c r="P175" s="76"/>
      <c r="Q175" s="76"/>
      <c r="R175" s="76"/>
      <c r="S175" s="76"/>
      <c r="T175" s="76"/>
    </row>
    <row r="176" spans="1:20" ht="14.25" customHeight="1">
      <c r="A176" s="105" t="s">
        <v>450</v>
      </c>
      <c r="B176" s="105" t="s">
        <v>79</v>
      </c>
      <c r="C176" s="105"/>
      <c r="D176" s="105"/>
      <c r="E176" s="105" t="s">
        <v>443</v>
      </c>
      <c r="F176" s="106" t="s">
        <v>296</v>
      </c>
      <c r="G176" s="106">
        <v>1</v>
      </c>
      <c r="H176" s="99"/>
      <c r="I176" s="99" t="s">
        <v>724</v>
      </c>
      <c r="J176" s="99" t="s">
        <v>722</v>
      </c>
      <c r="K176" s="98" t="s">
        <v>704</v>
      </c>
      <c r="L176" s="76"/>
      <c r="M176" s="76"/>
      <c r="N176" s="76"/>
      <c r="O176" s="98" t="s">
        <v>298</v>
      </c>
      <c r="P176" s="76"/>
      <c r="Q176" s="76"/>
      <c r="R176" s="76"/>
      <c r="S176" s="76"/>
      <c r="T176" s="76"/>
    </row>
    <row r="177" spans="1:20" ht="14.25" customHeight="1">
      <c r="A177" s="105" t="s">
        <v>460</v>
      </c>
      <c r="B177" s="105" t="s">
        <v>79</v>
      </c>
      <c r="C177" s="105"/>
      <c r="D177" s="105"/>
      <c r="E177" s="105" t="s">
        <v>443</v>
      </c>
      <c r="F177" s="106" t="s">
        <v>296</v>
      </c>
      <c r="G177" s="106">
        <v>1</v>
      </c>
      <c r="H177" s="99"/>
      <c r="I177" s="99" t="s">
        <v>234</v>
      </c>
      <c r="J177" s="99" t="s">
        <v>722</v>
      </c>
      <c r="K177" s="98" t="s">
        <v>704</v>
      </c>
      <c r="L177" s="76"/>
      <c r="M177" s="76"/>
      <c r="N177" s="76"/>
      <c r="O177" s="98" t="s">
        <v>298</v>
      </c>
      <c r="P177" s="76"/>
      <c r="Q177" s="76"/>
      <c r="R177" s="76"/>
      <c r="S177" s="76"/>
      <c r="T177" s="76"/>
    </row>
    <row r="178" spans="1:20" ht="14.25" customHeight="1">
      <c r="A178" s="105" t="s">
        <v>467</v>
      </c>
      <c r="B178" s="105" t="s">
        <v>79</v>
      </c>
      <c r="C178" s="105"/>
      <c r="D178" s="105"/>
      <c r="E178" s="105" t="s">
        <v>443</v>
      </c>
      <c r="F178" s="106" t="s">
        <v>296</v>
      </c>
      <c r="G178" s="106">
        <v>1</v>
      </c>
      <c r="H178" s="99"/>
      <c r="I178" s="99" t="s">
        <v>725</v>
      </c>
      <c r="J178" s="99" t="s">
        <v>722</v>
      </c>
      <c r="K178" s="98" t="s">
        <v>704</v>
      </c>
      <c r="L178" s="76"/>
      <c r="M178" s="76"/>
      <c r="N178" s="76"/>
      <c r="O178" s="98" t="s">
        <v>298</v>
      </c>
      <c r="P178" s="76"/>
      <c r="Q178" s="76"/>
      <c r="R178" s="76"/>
      <c r="S178" s="76"/>
      <c r="T178" s="76"/>
    </row>
    <row r="179" spans="1:20" ht="14.25" customHeight="1">
      <c r="A179" s="105" t="s">
        <v>472</v>
      </c>
      <c r="B179" s="105" t="s">
        <v>79</v>
      </c>
      <c r="C179" s="105"/>
      <c r="D179" s="105"/>
      <c r="E179" s="105" t="s">
        <v>443</v>
      </c>
      <c r="F179" s="106" t="s">
        <v>296</v>
      </c>
      <c r="G179" s="106">
        <v>1</v>
      </c>
      <c r="H179" s="99"/>
      <c r="I179" s="99" t="s">
        <v>726</v>
      </c>
      <c r="J179" s="99" t="s">
        <v>722</v>
      </c>
      <c r="K179" s="98" t="s">
        <v>704</v>
      </c>
      <c r="L179" s="76"/>
      <c r="M179" s="76"/>
      <c r="N179" s="76"/>
      <c r="O179" s="98" t="s">
        <v>298</v>
      </c>
      <c r="P179" s="76"/>
      <c r="Q179" s="76"/>
      <c r="R179" s="76"/>
      <c r="S179" s="76"/>
      <c r="T179" s="76"/>
    </row>
    <row r="180" spans="1:20" ht="14.25" customHeight="1">
      <c r="A180" s="105" t="s">
        <v>477</v>
      </c>
      <c r="B180" s="105" t="s">
        <v>79</v>
      </c>
      <c r="C180" s="105"/>
      <c r="D180" s="105"/>
      <c r="E180" s="105" t="s">
        <v>443</v>
      </c>
      <c r="F180" s="106" t="s">
        <v>296</v>
      </c>
      <c r="G180" s="106">
        <v>1</v>
      </c>
      <c r="H180" s="99"/>
      <c r="I180" s="99" t="s">
        <v>727</v>
      </c>
      <c r="J180" s="99" t="s">
        <v>722</v>
      </c>
      <c r="K180" s="98" t="s">
        <v>704</v>
      </c>
      <c r="L180" s="76"/>
      <c r="M180" s="76"/>
      <c r="N180" s="76"/>
      <c r="O180" s="98" t="s">
        <v>298</v>
      </c>
      <c r="P180" s="76"/>
      <c r="Q180" s="76"/>
      <c r="R180" s="76"/>
      <c r="S180" s="76"/>
      <c r="T180" s="76"/>
    </row>
    <row r="181" spans="1:20" ht="14.25" customHeight="1">
      <c r="A181" s="105" t="s">
        <v>482</v>
      </c>
      <c r="B181" s="105" t="s">
        <v>79</v>
      </c>
      <c r="C181" s="105"/>
      <c r="D181" s="105"/>
      <c r="E181" s="105" t="s">
        <v>728</v>
      </c>
      <c r="F181" s="106" t="s">
        <v>296</v>
      </c>
      <c r="G181" s="106">
        <v>1</v>
      </c>
      <c r="H181" s="99"/>
      <c r="I181" s="99" t="s">
        <v>231</v>
      </c>
      <c r="J181" s="99" t="s">
        <v>722</v>
      </c>
      <c r="K181" s="98" t="s">
        <v>704</v>
      </c>
      <c r="L181" s="76"/>
      <c r="M181" s="76"/>
      <c r="N181" s="76"/>
      <c r="O181" s="98" t="s">
        <v>298</v>
      </c>
      <c r="P181" s="76"/>
      <c r="Q181" s="76"/>
      <c r="R181" s="76"/>
      <c r="S181" s="76"/>
      <c r="T181" s="76"/>
    </row>
    <row r="182" spans="1:20" ht="14.25" customHeight="1">
      <c r="A182" s="105" t="s">
        <v>123</v>
      </c>
      <c r="B182" s="105" t="s">
        <v>79</v>
      </c>
      <c r="C182" s="105"/>
      <c r="D182" s="105"/>
      <c r="E182" s="105" t="s">
        <v>728</v>
      </c>
      <c r="F182" s="106" t="s">
        <v>296</v>
      </c>
      <c r="G182" s="106">
        <v>1</v>
      </c>
      <c r="H182" s="99"/>
      <c r="I182" s="99" t="s">
        <v>119</v>
      </c>
      <c r="J182" s="99" t="s">
        <v>722</v>
      </c>
      <c r="K182" s="98" t="s">
        <v>704</v>
      </c>
      <c r="L182" s="76"/>
      <c r="M182" s="76"/>
      <c r="N182" s="76"/>
      <c r="O182" s="98" t="s">
        <v>298</v>
      </c>
      <c r="P182" s="76"/>
      <c r="Q182" s="76"/>
      <c r="R182" s="76"/>
      <c r="S182" s="76"/>
      <c r="T182" s="76"/>
    </row>
    <row r="183" spans="1:20" ht="14.25" customHeight="1">
      <c r="A183" s="105" t="s">
        <v>566</v>
      </c>
      <c r="B183" s="105" t="s">
        <v>79</v>
      </c>
      <c r="C183" s="105"/>
      <c r="D183" s="105"/>
      <c r="E183" s="105" t="s">
        <v>728</v>
      </c>
      <c r="F183" s="106" t="s">
        <v>296</v>
      </c>
      <c r="G183" s="106">
        <v>1</v>
      </c>
      <c r="H183" s="99"/>
      <c r="I183" s="99" t="s">
        <v>729</v>
      </c>
      <c r="J183" s="99" t="s">
        <v>730</v>
      </c>
      <c r="K183" s="99" t="s">
        <v>704</v>
      </c>
      <c r="L183" s="76"/>
      <c r="M183" s="76"/>
      <c r="N183" s="76"/>
      <c r="O183" s="99"/>
      <c r="P183" s="76"/>
      <c r="Q183" s="76"/>
      <c r="R183" s="76"/>
      <c r="S183" s="76"/>
      <c r="T183" s="76"/>
    </row>
    <row r="184" spans="1:20" ht="14.25" customHeight="1">
      <c r="A184" s="105" t="s">
        <v>799</v>
      </c>
      <c r="B184" s="105" t="s">
        <v>79</v>
      </c>
      <c r="C184" s="105"/>
      <c r="D184" s="105"/>
      <c r="E184" s="105" t="s">
        <v>295</v>
      </c>
      <c r="F184" s="106" t="s">
        <v>296</v>
      </c>
      <c r="G184" s="106">
        <v>1</v>
      </c>
      <c r="H184" s="99"/>
      <c r="I184" s="99"/>
      <c r="J184" s="99"/>
      <c r="K184" s="99"/>
      <c r="L184" s="76"/>
      <c r="M184" s="76"/>
      <c r="N184" s="76"/>
      <c r="O184" s="99" t="s">
        <v>564</v>
      </c>
      <c r="P184" s="76"/>
      <c r="Q184" s="76"/>
      <c r="R184" s="76"/>
      <c r="S184" s="76"/>
      <c r="T184" s="76"/>
    </row>
    <row r="185" spans="1:20" ht="14.25" customHeight="1">
      <c r="A185" s="105" t="s">
        <v>800</v>
      </c>
      <c r="B185" s="105" t="s">
        <v>79</v>
      </c>
      <c r="C185" s="105"/>
      <c r="D185" s="105"/>
      <c r="E185" s="105" t="s">
        <v>295</v>
      </c>
      <c r="F185" s="106" t="s">
        <v>296</v>
      </c>
      <c r="G185" s="106">
        <v>1</v>
      </c>
      <c r="H185" s="99"/>
      <c r="I185" s="99"/>
      <c r="J185" s="99"/>
      <c r="K185" s="99"/>
      <c r="L185" s="76"/>
      <c r="M185" s="76"/>
      <c r="N185" s="76"/>
      <c r="O185" s="99" t="s">
        <v>564</v>
      </c>
      <c r="P185" s="76"/>
      <c r="Q185" s="76"/>
      <c r="R185" s="76"/>
      <c r="S185" s="76"/>
      <c r="T185" s="76"/>
    </row>
    <row r="186" spans="1:20" ht="14.25" customHeight="1">
      <c r="A186" s="105" t="s">
        <v>801</v>
      </c>
      <c r="B186" s="105" t="s">
        <v>79</v>
      </c>
      <c r="C186" s="105"/>
      <c r="D186" s="105"/>
      <c r="E186" s="105" t="s">
        <v>295</v>
      </c>
      <c r="F186" s="106" t="s">
        <v>296</v>
      </c>
      <c r="G186" s="106">
        <v>1</v>
      </c>
      <c r="H186" s="99"/>
      <c r="I186" s="99"/>
      <c r="J186" s="99"/>
      <c r="K186" s="99"/>
      <c r="L186" s="76"/>
      <c r="M186" s="76"/>
      <c r="N186" s="76"/>
      <c r="O186" s="99" t="s">
        <v>564</v>
      </c>
      <c r="P186" s="76"/>
      <c r="Q186" s="76"/>
      <c r="R186" s="76"/>
      <c r="S186" s="76"/>
      <c r="T186" s="76"/>
    </row>
    <row r="187" spans="1:20" ht="14.25" customHeight="1">
      <c r="A187" s="105" t="s">
        <v>802</v>
      </c>
      <c r="B187" s="105" t="s">
        <v>79</v>
      </c>
      <c r="C187" s="105"/>
      <c r="D187" s="105"/>
      <c r="E187" s="105" t="s">
        <v>373</v>
      </c>
      <c r="F187" s="106" t="s">
        <v>296</v>
      </c>
      <c r="G187" s="106">
        <v>1</v>
      </c>
      <c r="H187" s="99"/>
      <c r="I187" s="99"/>
      <c r="J187" s="99"/>
      <c r="K187" s="99"/>
      <c r="L187" s="76"/>
      <c r="M187" s="76"/>
      <c r="N187" s="76"/>
      <c r="O187" s="99" t="s">
        <v>564</v>
      </c>
      <c r="P187" s="76"/>
      <c r="Q187" s="76"/>
      <c r="R187" s="76"/>
      <c r="S187" s="76"/>
      <c r="T187" s="76"/>
    </row>
    <row r="188" spans="1:20" ht="14.25" customHeight="1">
      <c r="A188" s="105" t="s">
        <v>803</v>
      </c>
      <c r="B188" s="105" t="s">
        <v>79</v>
      </c>
      <c r="C188" s="105"/>
      <c r="D188" s="105"/>
      <c r="E188" s="105" t="s">
        <v>408</v>
      </c>
      <c r="F188" s="106" t="s">
        <v>296</v>
      </c>
      <c r="G188" s="106">
        <v>1</v>
      </c>
      <c r="H188" s="99"/>
      <c r="I188" s="99"/>
      <c r="J188" s="99"/>
      <c r="K188" s="99"/>
      <c r="L188" s="76"/>
      <c r="M188" s="76"/>
      <c r="N188" s="76"/>
      <c r="O188" s="99" t="s">
        <v>564</v>
      </c>
      <c r="P188" s="76"/>
      <c r="Q188" s="76"/>
      <c r="R188" s="76"/>
      <c r="S188" s="76"/>
      <c r="T188" s="76"/>
    </row>
    <row r="189" spans="1:20" ht="14.25" customHeight="1">
      <c r="A189" s="105" t="s">
        <v>804</v>
      </c>
      <c r="B189" s="105" t="s">
        <v>79</v>
      </c>
      <c r="C189" s="105"/>
      <c r="D189" s="105"/>
      <c r="E189" s="105"/>
      <c r="F189" s="106" t="s">
        <v>296</v>
      </c>
      <c r="G189" s="106">
        <v>1</v>
      </c>
      <c r="H189" s="99"/>
      <c r="I189" s="99"/>
      <c r="J189" s="99"/>
      <c r="K189" s="99"/>
      <c r="L189" s="76"/>
      <c r="M189" s="76"/>
      <c r="N189" s="76"/>
      <c r="O189" s="99"/>
      <c r="P189" s="76"/>
      <c r="Q189" s="76"/>
      <c r="R189" s="76"/>
      <c r="S189" s="76"/>
      <c r="T189" s="76"/>
    </row>
    <row r="190" spans="1:20" ht="14.25" customHeight="1">
      <c r="A190" s="105" t="s">
        <v>805</v>
      </c>
      <c r="B190" s="105" t="s">
        <v>79</v>
      </c>
      <c r="C190" s="105"/>
      <c r="D190" s="105"/>
      <c r="E190" s="105"/>
      <c r="F190" s="106" t="s">
        <v>296</v>
      </c>
      <c r="G190" s="106">
        <v>1</v>
      </c>
      <c r="H190" s="99"/>
      <c r="I190" s="99"/>
      <c r="J190" s="99"/>
      <c r="K190" s="99"/>
      <c r="L190" s="76"/>
      <c r="M190" s="76"/>
      <c r="N190" s="76"/>
      <c r="O190" s="99"/>
      <c r="P190" s="76"/>
      <c r="Q190" s="76"/>
      <c r="R190" s="76"/>
      <c r="S190" s="76"/>
      <c r="T190" s="76"/>
    </row>
    <row r="191" spans="1:20" ht="14.25" customHeight="1">
      <c r="A191" s="105" t="s">
        <v>806</v>
      </c>
      <c r="B191" s="105" t="s">
        <v>79</v>
      </c>
      <c r="C191" s="105"/>
      <c r="D191" s="105"/>
      <c r="E191" s="105"/>
      <c r="F191" s="106" t="s">
        <v>296</v>
      </c>
      <c r="G191" s="106">
        <v>1</v>
      </c>
      <c r="H191" s="99"/>
      <c r="I191" s="99"/>
      <c r="J191" s="99"/>
      <c r="K191" s="99"/>
      <c r="L191" s="76"/>
      <c r="M191" s="76"/>
      <c r="N191" s="76"/>
      <c r="O191" s="99"/>
      <c r="P191" s="76"/>
      <c r="Q191" s="76"/>
      <c r="R191" s="76"/>
      <c r="S191" s="76"/>
      <c r="T191" s="76"/>
    </row>
    <row r="192" spans="1:20" ht="14.25" customHeight="1">
      <c r="A192" s="105" t="s">
        <v>807</v>
      </c>
      <c r="B192" s="105" t="s">
        <v>79</v>
      </c>
      <c r="C192" s="105"/>
      <c r="D192" s="105"/>
      <c r="E192" s="105"/>
      <c r="F192" s="106" t="s">
        <v>296</v>
      </c>
      <c r="G192" s="106">
        <v>1</v>
      </c>
      <c r="H192" s="99"/>
      <c r="I192" s="99"/>
      <c r="J192" s="99"/>
      <c r="K192" s="99"/>
      <c r="L192" s="76"/>
      <c r="M192" s="76"/>
      <c r="N192" s="76"/>
      <c r="O192" s="99"/>
      <c r="P192" s="76"/>
      <c r="Q192" s="76"/>
      <c r="R192" s="76"/>
      <c r="S192" s="76"/>
      <c r="T192" s="76"/>
    </row>
    <row r="193" spans="1:20" ht="14.25" customHeight="1">
      <c r="A193" s="105" t="s">
        <v>808</v>
      </c>
      <c r="B193" s="105" t="s">
        <v>79</v>
      </c>
      <c r="C193" s="105"/>
      <c r="D193" s="105"/>
      <c r="E193" s="105"/>
      <c r="F193" s="106" t="s">
        <v>296</v>
      </c>
      <c r="G193" s="106">
        <v>1</v>
      </c>
      <c r="H193" s="99"/>
      <c r="I193" s="99"/>
      <c r="J193" s="99"/>
      <c r="K193" s="99"/>
      <c r="L193" s="76"/>
      <c r="M193" s="76"/>
      <c r="N193" s="76"/>
      <c r="O193" s="99"/>
      <c r="P193" s="76"/>
      <c r="Q193" s="76"/>
      <c r="R193" s="76"/>
      <c r="S193" s="76"/>
      <c r="T193" s="76"/>
    </row>
    <row r="194" spans="1:20" ht="14.25" customHeight="1">
      <c r="A194" s="105" t="s">
        <v>809</v>
      </c>
      <c r="B194" s="105" t="s">
        <v>79</v>
      </c>
      <c r="C194" s="105"/>
      <c r="D194" s="105"/>
      <c r="E194" s="105"/>
      <c r="F194" s="106" t="s">
        <v>296</v>
      </c>
      <c r="G194" s="106">
        <v>1</v>
      </c>
      <c r="H194" s="99"/>
      <c r="I194" s="99"/>
      <c r="J194" s="99"/>
      <c r="K194" s="99"/>
      <c r="L194" s="76"/>
      <c r="M194" s="76"/>
      <c r="N194" s="76"/>
      <c r="O194" s="99"/>
      <c r="P194" s="76"/>
      <c r="Q194" s="76"/>
      <c r="R194" s="76"/>
      <c r="S194" s="76"/>
      <c r="T194" s="76"/>
    </row>
    <row r="195" spans="1:20" ht="14.25" customHeight="1">
      <c r="A195" s="105" t="s">
        <v>810</v>
      </c>
      <c r="B195" s="105" t="s">
        <v>79</v>
      </c>
      <c r="C195" s="105"/>
      <c r="D195" s="105"/>
      <c r="E195" s="105"/>
      <c r="F195" s="106" t="s">
        <v>296</v>
      </c>
      <c r="G195" s="106">
        <v>1</v>
      </c>
      <c r="H195" s="99"/>
      <c r="I195" s="99"/>
      <c r="J195" s="99"/>
      <c r="K195" s="99"/>
      <c r="L195" s="76"/>
      <c r="M195" s="76"/>
      <c r="N195" s="76"/>
      <c r="O195" s="99"/>
      <c r="P195" s="76"/>
      <c r="Q195" s="76"/>
      <c r="R195" s="76"/>
      <c r="S195" s="76"/>
      <c r="T195" s="76"/>
    </row>
    <row r="196" spans="1:20" ht="14.25" customHeight="1">
      <c r="A196" s="105" t="s">
        <v>811</v>
      </c>
      <c r="B196" s="105" t="s">
        <v>79</v>
      </c>
      <c r="C196" s="105"/>
      <c r="D196" s="105"/>
      <c r="E196" s="105"/>
      <c r="F196" s="106" t="s">
        <v>296</v>
      </c>
      <c r="G196" s="106">
        <v>1</v>
      </c>
      <c r="H196" s="99"/>
      <c r="I196" s="99"/>
      <c r="J196" s="99"/>
      <c r="K196" s="99"/>
      <c r="L196" s="76"/>
      <c r="M196" s="76"/>
      <c r="N196" s="76"/>
      <c r="O196" s="99"/>
      <c r="P196" s="76"/>
      <c r="Q196" s="76"/>
      <c r="R196" s="76"/>
      <c r="S196" s="76"/>
      <c r="T196" s="76"/>
    </row>
    <row r="197" spans="1:20" ht="14.25" customHeight="1">
      <c r="A197" s="105" t="s">
        <v>433</v>
      </c>
      <c r="B197" s="105" t="s">
        <v>79</v>
      </c>
      <c r="C197" s="105"/>
      <c r="D197" s="105"/>
      <c r="E197" s="105"/>
      <c r="F197" s="106" t="s">
        <v>296</v>
      </c>
      <c r="G197" s="106">
        <v>1</v>
      </c>
      <c r="H197" s="99"/>
      <c r="I197" s="99"/>
      <c r="J197" s="99"/>
      <c r="K197" s="99"/>
      <c r="L197" s="76"/>
      <c r="M197" s="76"/>
      <c r="N197" s="76"/>
      <c r="O197" s="99"/>
      <c r="P197" s="76"/>
      <c r="Q197" s="76"/>
      <c r="R197" s="76"/>
      <c r="S197" s="76"/>
      <c r="T197" s="76"/>
    </row>
    <row r="198" spans="1:20" ht="14.25" customHeight="1">
      <c r="A198" s="105" t="s">
        <v>651</v>
      </c>
      <c r="B198" s="105" t="s">
        <v>79</v>
      </c>
      <c r="C198" s="105"/>
      <c r="D198" s="105"/>
      <c r="E198" s="105"/>
      <c r="F198" s="106" t="s">
        <v>296</v>
      </c>
      <c r="G198" s="106">
        <v>1</v>
      </c>
      <c r="H198" s="99"/>
      <c r="I198" s="99"/>
      <c r="J198" s="99"/>
      <c r="K198" s="99"/>
      <c r="L198" s="76"/>
      <c r="M198" s="76"/>
      <c r="N198" s="76"/>
      <c r="O198" s="99"/>
      <c r="P198" s="76"/>
      <c r="Q198" s="76"/>
      <c r="R198" s="76"/>
      <c r="S198" s="76"/>
      <c r="T198" s="76"/>
    </row>
    <row r="199" spans="1:20" ht="14.25" customHeight="1">
      <c r="A199" s="105" t="s">
        <v>812</v>
      </c>
      <c r="B199" s="105" t="s">
        <v>79</v>
      </c>
      <c r="C199" s="105"/>
      <c r="D199" s="105"/>
      <c r="E199" s="105"/>
      <c r="F199" s="106" t="s">
        <v>296</v>
      </c>
      <c r="G199" s="106">
        <v>1</v>
      </c>
      <c r="H199" s="99"/>
      <c r="I199" s="99"/>
      <c r="J199" s="99"/>
      <c r="K199" s="99"/>
      <c r="L199" s="76"/>
      <c r="M199" s="76"/>
      <c r="N199" s="76"/>
      <c r="O199" s="99"/>
      <c r="P199" s="76"/>
      <c r="Q199" s="76"/>
      <c r="R199" s="76"/>
      <c r="S199" s="76"/>
      <c r="T199" s="76"/>
    </row>
    <row r="200" spans="1:20" ht="14.25" customHeight="1">
      <c r="A200" s="105" t="s">
        <v>813</v>
      </c>
      <c r="B200" s="105" t="s">
        <v>79</v>
      </c>
      <c r="C200" s="105"/>
      <c r="D200" s="105"/>
      <c r="E200" s="105"/>
      <c r="F200" s="106" t="s">
        <v>296</v>
      </c>
      <c r="G200" s="106">
        <v>1</v>
      </c>
      <c r="H200" s="99"/>
      <c r="I200" s="99"/>
      <c r="J200" s="99"/>
      <c r="K200" s="99"/>
      <c r="L200" s="76"/>
      <c r="M200" s="76"/>
      <c r="N200" s="76"/>
      <c r="O200" s="99"/>
      <c r="P200" s="76"/>
      <c r="Q200" s="76"/>
      <c r="R200" s="76"/>
      <c r="S200" s="76"/>
      <c r="T200" s="76"/>
    </row>
    <row r="201" spans="1:20" ht="14.25" customHeight="1">
      <c r="A201" s="105" t="s">
        <v>814</v>
      </c>
      <c r="B201" s="105" t="s">
        <v>79</v>
      </c>
      <c r="C201" s="105"/>
      <c r="D201" s="105"/>
      <c r="E201" s="105"/>
      <c r="F201" s="106" t="s">
        <v>296</v>
      </c>
      <c r="G201" s="106">
        <v>1</v>
      </c>
      <c r="H201" s="99"/>
      <c r="I201" s="99"/>
      <c r="J201" s="99"/>
      <c r="K201" s="99"/>
      <c r="L201" s="76"/>
      <c r="M201" s="76"/>
      <c r="N201" s="76"/>
      <c r="O201" s="99"/>
      <c r="P201" s="76"/>
      <c r="Q201" s="76"/>
      <c r="R201" s="76"/>
      <c r="S201" s="76"/>
      <c r="T201" s="76"/>
    </row>
    <row r="202" spans="1:20" ht="14.25" customHeight="1">
      <c r="A202" s="76" t="s">
        <v>815</v>
      </c>
      <c r="B202" s="76" t="s">
        <v>326</v>
      </c>
      <c r="C202" s="76"/>
      <c r="D202" s="76"/>
      <c r="E202" s="76"/>
      <c r="F202" s="88" t="s">
        <v>296</v>
      </c>
      <c r="G202" s="88">
        <v>1</v>
      </c>
      <c r="H202" s="99"/>
      <c r="I202" s="99"/>
      <c r="J202" s="99"/>
      <c r="K202" s="99"/>
      <c r="L202" s="76"/>
      <c r="M202" s="76"/>
      <c r="N202" s="76"/>
      <c r="O202" s="99"/>
      <c r="P202" s="76"/>
      <c r="Q202" s="76"/>
      <c r="R202" s="76"/>
      <c r="S202" s="76"/>
      <c r="T202" s="76"/>
    </row>
    <row r="203" spans="1:20" ht="14.25" customHeight="1">
      <c r="A203" s="76" t="s">
        <v>816</v>
      </c>
      <c r="B203" s="76" t="s">
        <v>326</v>
      </c>
      <c r="C203" s="76"/>
      <c r="D203" s="76"/>
      <c r="E203" s="76"/>
      <c r="F203" s="88" t="s">
        <v>296</v>
      </c>
      <c r="G203" s="88">
        <v>1</v>
      </c>
      <c r="H203" s="99"/>
      <c r="I203" s="99"/>
      <c r="J203" s="99"/>
      <c r="K203" s="99"/>
      <c r="L203" s="76"/>
      <c r="M203" s="76"/>
      <c r="N203" s="76"/>
      <c r="O203" s="99"/>
      <c r="P203" s="76"/>
      <c r="Q203" s="76"/>
      <c r="R203" s="76"/>
      <c r="S203" s="76"/>
      <c r="T203" s="76"/>
    </row>
    <row r="204" spans="1:20" ht="14.25" customHeight="1">
      <c r="A204" s="76" t="s">
        <v>817</v>
      </c>
      <c r="B204" s="76" t="s">
        <v>326</v>
      </c>
      <c r="C204" s="76"/>
      <c r="D204" s="76"/>
      <c r="E204" s="76"/>
      <c r="F204" s="88" t="s">
        <v>296</v>
      </c>
      <c r="G204" s="88">
        <v>1</v>
      </c>
      <c r="H204" s="99"/>
      <c r="I204" s="99"/>
      <c r="J204" s="99"/>
      <c r="K204" s="99"/>
      <c r="L204" s="76"/>
      <c r="M204" s="76"/>
      <c r="N204" s="76"/>
      <c r="O204" s="99"/>
      <c r="P204" s="76"/>
      <c r="Q204" s="76"/>
      <c r="R204" s="76"/>
      <c r="S204" s="76"/>
      <c r="T204" s="76"/>
    </row>
    <row r="205" spans="1:20" ht="14.25" customHeight="1">
      <c r="A205" s="76" t="s">
        <v>818</v>
      </c>
      <c r="B205" s="76" t="s">
        <v>326</v>
      </c>
      <c r="C205" s="76"/>
      <c r="D205" s="76"/>
      <c r="E205" s="76"/>
      <c r="F205" s="88" t="s">
        <v>296</v>
      </c>
      <c r="G205" s="88">
        <v>1</v>
      </c>
      <c r="H205" s="99"/>
      <c r="I205" s="99"/>
      <c r="J205" s="99"/>
      <c r="K205" s="99"/>
      <c r="L205" s="76"/>
      <c r="M205" s="76"/>
      <c r="N205" s="76"/>
      <c r="O205" s="99"/>
      <c r="P205" s="76"/>
      <c r="Q205" s="76"/>
      <c r="R205" s="76"/>
      <c r="S205" s="76"/>
      <c r="T205" s="76"/>
    </row>
    <row r="206" spans="1:20" ht="14.25" customHeight="1">
      <c r="A206" s="76" t="s">
        <v>819</v>
      </c>
      <c r="B206" s="76" t="s">
        <v>326</v>
      </c>
      <c r="C206" s="76"/>
      <c r="D206" s="76"/>
      <c r="E206" s="76"/>
      <c r="F206" s="88" t="s">
        <v>296</v>
      </c>
      <c r="G206" s="88">
        <v>1</v>
      </c>
      <c r="H206" s="99"/>
      <c r="I206" s="99"/>
      <c r="J206" s="99"/>
      <c r="K206" s="99"/>
      <c r="L206" s="76"/>
      <c r="M206" s="76"/>
      <c r="N206" s="76"/>
      <c r="O206" s="99"/>
      <c r="P206" s="76"/>
      <c r="Q206" s="76"/>
      <c r="R206" s="76"/>
      <c r="S206" s="76"/>
      <c r="T206" s="76"/>
    </row>
    <row r="207" spans="1:20" ht="14.25" customHeight="1">
      <c r="A207" s="76" t="s">
        <v>820</v>
      </c>
      <c r="B207" s="76" t="s">
        <v>326</v>
      </c>
      <c r="C207" s="76"/>
      <c r="D207" s="76"/>
      <c r="E207" s="76"/>
      <c r="F207" s="88" t="s">
        <v>296</v>
      </c>
      <c r="G207" s="88">
        <v>1</v>
      </c>
      <c r="H207" s="99"/>
      <c r="I207" s="99"/>
      <c r="J207" s="99"/>
      <c r="K207" s="99"/>
      <c r="L207" s="76"/>
      <c r="M207" s="76"/>
      <c r="N207" s="76"/>
      <c r="O207" s="99"/>
      <c r="P207" s="76"/>
      <c r="Q207" s="76"/>
      <c r="R207" s="76"/>
      <c r="S207" s="76"/>
      <c r="T207" s="76"/>
    </row>
    <row r="208" spans="1:20" ht="14.25" customHeight="1">
      <c r="A208" s="76" t="s">
        <v>821</v>
      </c>
      <c r="B208" s="76" t="s">
        <v>326</v>
      </c>
      <c r="C208" s="76"/>
      <c r="D208" s="76"/>
      <c r="E208" s="76"/>
      <c r="F208" s="88" t="s">
        <v>296</v>
      </c>
      <c r="G208" s="88">
        <v>1</v>
      </c>
      <c r="H208" s="99"/>
      <c r="I208" s="99"/>
      <c r="J208" s="99"/>
      <c r="K208" s="99"/>
      <c r="L208" s="76"/>
      <c r="M208" s="76"/>
      <c r="N208" s="76"/>
      <c r="O208" s="99"/>
      <c r="P208" s="76"/>
      <c r="Q208" s="76"/>
      <c r="R208" s="76"/>
      <c r="S208" s="76"/>
      <c r="T208" s="76"/>
    </row>
    <row r="209" spans="1:20" ht="14.25" customHeight="1">
      <c r="A209" s="76" t="s">
        <v>822</v>
      </c>
      <c r="B209" s="76" t="s">
        <v>326</v>
      </c>
      <c r="C209" s="76"/>
      <c r="D209" s="76"/>
      <c r="E209" s="76"/>
      <c r="F209" s="88" t="s">
        <v>296</v>
      </c>
      <c r="G209" s="88">
        <v>1</v>
      </c>
      <c r="H209" s="99"/>
      <c r="I209" s="99"/>
      <c r="J209" s="99"/>
      <c r="K209" s="99"/>
      <c r="L209" s="76"/>
      <c r="M209" s="76"/>
      <c r="N209" s="76"/>
      <c r="O209" s="99"/>
      <c r="P209" s="76"/>
      <c r="Q209" s="76"/>
      <c r="R209" s="76"/>
      <c r="S209" s="76"/>
      <c r="T209" s="76"/>
    </row>
    <row r="210" spans="1:20" ht="14.25" customHeight="1">
      <c r="A210" s="76" t="s">
        <v>823</v>
      </c>
      <c r="B210" s="76" t="s">
        <v>326</v>
      </c>
      <c r="C210" s="76"/>
      <c r="D210" s="76"/>
      <c r="E210" s="76"/>
      <c r="F210" s="88" t="s">
        <v>296</v>
      </c>
      <c r="G210" s="88">
        <v>1</v>
      </c>
      <c r="H210" s="99"/>
      <c r="I210" s="99"/>
      <c r="J210" s="99"/>
      <c r="K210" s="99"/>
      <c r="L210" s="76"/>
      <c r="M210" s="76"/>
      <c r="N210" s="76"/>
      <c r="O210" s="99"/>
      <c r="P210" s="76"/>
      <c r="Q210" s="76"/>
      <c r="R210" s="76"/>
      <c r="S210" s="76"/>
      <c r="T210" s="76"/>
    </row>
    <row r="211" spans="1:20" ht="14.25" customHeight="1">
      <c r="A211" s="76" t="s">
        <v>824</v>
      </c>
      <c r="B211" s="76" t="s">
        <v>81</v>
      </c>
      <c r="C211" s="76"/>
      <c r="D211" s="76"/>
      <c r="E211" s="76"/>
      <c r="F211" s="88" t="s">
        <v>296</v>
      </c>
      <c r="G211" s="88">
        <v>1</v>
      </c>
      <c r="H211" s="99"/>
      <c r="I211" s="99"/>
      <c r="J211" s="99"/>
      <c r="K211" s="99"/>
      <c r="L211" s="76"/>
      <c r="M211" s="76"/>
      <c r="N211" s="76"/>
      <c r="O211" s="99"/>
      <c r="P211" s="76"/>
      <c r="Q211" s="76"/>
      <c r="R211" s="76"/>
      <c r="S211" s="76"/>
      <c r="T211" s="76"/>
    </row>
    <row r="212" spans="1:20" ht="14.25" customHeight="1">
      <c r="A212" s="76" t="s">
        <v>825</v>
      </c>
      <c r="B212" s="76" t="s">
        <v>81</v>
      </c>
      <c r="C212" s="76"/>
      <c r="D212" s="76"/>
      <c r="E212" s="76"/>
      <c r="F212" s="88" t="s">
        <v>296</v>
      </c>
      <c r="G212" s="88">
        <v>1</v>
      </c>
      <c r="H212" s="99"/>
      <c r="I212" s="99"/>
      <c r="J212" s="99"/>
      <c r="K212" s="99"/>
      <c r="L212" s="76"/>
      <c r="M212" s="76"/>
      <c r="N212" s="76"/>
      <c r="O212" s="99"/>
      <c r="P212" s="76"/>
      <c r="Q212" s="76"/>
      <c r="R212" s="76"/>
      <c r="S212" s="76"/>
      <c r="T212" s="76"/>
    </row>
    <row r="213" spans="1:20" ht="14.25" customHeight="1">
      <c r="A213" s="76" t="s">
        <v>826</v>
      </c>
      <c r="B213" s="76" t="s">
        <v>81</v>
      </c>
      <c r="C213" s="76"/>
      <c r="D213" s="76"/>
      <c r="E213" s="76"/>
      <c r="F213" s="88" t="s">
        <v>296</v>
      </c>
      <c r="G213" s="88">
        <v>1</v>
      </c>
      <c r="H213" s="99"/>
      <c r="I213" s="99"/>
      <c r="J213" s="99"/>
      <c r="K213" s="99"/>
      <c r="L213" s="76"/>
      <c r="M213" s="76"/>
      <c r="N213" s="76"/>
      <c r="O213" s="99"/>
      <c r="P213" s="76"/>
      <c r="Q213" s="76"/>
      <c r="R213" s="76"/>
      <c r="S213" s="76"/>
      <c r="T213" s="76"/>
    </row>
    <row r="214" spans="1:20" ht="14.25" customHeight="1">
      <c r="A214" s="76" t="s">
        <v>827</v>
      </c>
      <c r="B214" s="76" t="s">
        <v>81</v>
      </c>
      <c r="C214" s="76"/>
      <c r="D214" s="76"/>
      <c r="E214" s="76"/>
      <c r="F214" s="88" t="s">
        <v>296</v>
      </c>
      <c r="G214" s="88">
        <v>1</v>
      </c>
      <c r="H214" s="99"/>
      <c r="I214" s="99"/>
      <c r="J214" s="99"/>
      <c r="K214" s="99"/>
      <c r="L214" s="76"/>
      <c r="M214" s="76"/>
      <c r="N214" s="76"/>
      <c r="O214" s="99"/>
      <c r="P214" s="76"/>
      <c r="Q214" s="76"/>
      <c r="R214" s="76"/>
      <c r="S214" s="76"/>
      <c r="T214" s="76"/>
    </row>
    <row r="215" spans="1:20" ht="14.25" customHeight="1">
      <c r="A215" s="76" t="s">
        <v>828</v>
      </c>
      <c r="B215" s="76" t="s">
        <v>81</v>
      </c>
      <c r="C215" s="76"/>
      <c r="D215" s="76"/>
      <c r="E215" s="76"/>
      <c r="F215" s="88" t="s">
        <v>296</v>
      </c>
      <c r="G215" s="88">
        <v>1</v>
      </c>
      <c r="H215" s="99"/>
      <c r="I215" s="99"/>
      <c r="J215" s="99"/>
      <c r="K215" s="99"/>
      <c r="L215" s="76"/>
      <c r="M215" s="76"/>
      <c r="N215" s="76"/>
      <c r="O215" s="99"/>
      <c r="P215" s="76"/>
      <c r="Q215" s="76"/>
      <c r="R215" s="76"/>
      <c r="S215" s="76"/>
      <c r="T215" s="76"/>
    </row>
    <row r="216" spans="1:20" ht="14.25" customHeight="1">
      <c r="A216" s="76" t="s">
        <v>829</v>
      </c>
      <c r="B216" s="76" t="s">
        <v>81</v>
      </c>
      <c r="C216" s="76"/>
      <c r="D216" s="76"/>
      <c r="E216" s="76"/>
      <c r="F216" s="88" t="s">
        <v>296</v>
      </c>
      <c r="G216" s="88">
        <v>1</v>
      </c>
      <c r="H216" s="99"/>
      <c r="I216" s="99"/>
      <c r="J216" s="99"/>
      <c r="K216" s="99"/>
      <c r="L216" s="76"/>
      <c r="M216" s="76"/>
      <c r="N216" s="76"/>
      <c r="O216" s="99"/>
      <c r="P216" s="76"/>
      <c r="Q216" s="76"/>
      <c r="R216" s="76"/>
      <c r="S216" s="76"/>
      <c r="T216" s="76"/>
    </row>
    <row r="217" spans="1:20" ht="14.25" customHeight="1">
      <c r="A217" s="76" t="s">
        <v>830</v>
      </c>
      <c r="B217" s="76" t="s">
        <v>81</v>
      </c>
      <c r="C217" s="76"/>
      <c r="D217" s="76"/>
      <c r="E217" s="76"/>
      <c r="F217" s="88" t="s">
        <v>296</v>
      </c>
      <c r="G217" s="88">
        <v>1</v>
      </c>
      <c r="H217" s="99"/>
      <c r="I217" s="99"/>
      <c r="J217" s="99"/>
      <c r="K217" s="99"/>
      <c r="L217" s="76"/>
      <c r="M217" s="76"/>
      <c r="N217" s="76"/>
      <c r="O217" s="99"/>
      <c r="P217" s="76"/>
      <c r="Q217" s="76"/>
      <c r="R217" s="76"/>
      <c r="S217" s="76"/>
      <c r="T217" s="76"/>
    </row>
    <row r="218" spans="1:20" ht="14.25" customHeight="1">
      <c r="A218" s="76" t="s">
        <v>831</v>
      </c>
      <c r="B218" s="76" t="s">
        <v>81</v>
      </c>
      <c r="C218" s="76"/>
      <c r="D218" s="76"/>
      <c r="E218" s="76"/>
      <c r="F218" s="88" t="s">
        <v>296</v>
      </c>
      <c r="G218" s="88">
        <v>1</v>
      </c>
      <c r="H218" s="99"/>
      <c r="I218" s="99"/>
      <c r="J218" s="99"/>
      <c r="K218" s="99"/>
      <c r="L218" s="76"/>
      <c r="M218" s="76"/>
      <c r="N218" s="76"/>
      <c r="O218" s="99"/>
      <c r="P218" s="76"/>
      <c r="Q218" s="76"/>
      <c r="R218" s="76"/>
      <c r="S218" s="76"/>
      <c r="T218" s="76"/>
    </row>
  </sheetData>
  <autoFilter ref="A3:X218" xr:uid="{58D31C1A-7302-4820-BC52-CA751949CFA7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779674-6D9B-4698-8B77-768CB47D6ED8}">
          <x14:formula1>
            <xm:f>'Code Data'!$F$3:$F$19</xm:f>
          </x14:formula1>
          <xm:sqref>B1 B3:B100 B102:B1048576</xm:sqref>
        </x14:dataValidation>
        <x14:dataValidation type="list" allowBlank="1" showInputMessage="1" showErrorMessage="1" xr:uid="{E35B0B48-59DC-4228-8ADC-C4091F84E150}">
          <x14:formula1>
            <xm:f>'Code Data'!$G$3:$G$10</xm:f>
          </x14:formula1>
          <xm:sqref>O1:O100 O102:O1048576</xm:sqref>
        </x14:dataValidation>
        <x14:dataValidation type="list" allowBlank="1" showInputMessage="1" showErrorMessage="1" xr:uid="{69523FB1-0655-4A4B-929D-14D657DD379D}">
          <x14:formula1>
            <xm:f>'Code Data'!$B$3:$B$21</xm:f>
          </x14:formula1>
          <xm:sqref>E102:E1048576 E1:E100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29C6-1C01-4D40-A888-702B9BF93584}">
  <dimension ref="A1:M79"/>
  <sheetViews>
    <sheetView workbookViewId="0">
      <pane ySplit="1" topLeftCell="A2" activePane="bottomLeft" state="frozen"/>
      <selection pane="bottomLeft" activeCell="D43" sqref="D43"/>
    </sheetView>
  </sheetViews>
  <sheetFormatPr defaultColWidth="9" defaultRowHeight="15"/>
  <cols>
    <col min="1" max="1" width="7" style="20" customWidth="1"/>
    <col min="2" max="3" width="17.42578125" style="20" customWidth="1"/>
    <col min="4" max="4" width="44.140625" style="68" customWidth="1"/>
    <col min="5" max="5" width="17.7109375" style="20" customWidth="1"/>
    <col min="6" max="6" width="10.85546875" style="69" customWidth="1"/>
    <col min="7" max="7" width="13.7109375" style="70" bestFit="1" customWidth="1"/>
    <col min="8" max="8" width="19.42578125" style="20" customWidth="1"/>
    <col min="9" max="9" width="15.7109375" style="20" customWidth="1"/>
    <col min="10" max="10" width="16.7109375" style="20" customWidth="1"/>
    <col min="11" max="11" width="14.42578125" style="71" customWidth="1"/>
    <col min="12" max="12" width="14.28515625" style="71" customWidth="1"/>
    <col min="13" max="13" width="21.42578125" style="20" customWidth="1"/>
    <col min="14" max="16384" width="9" style="20"/>
  </cols>
  <sheetData>
    <row r="1" spans="1:13" s="9" customFormat="1" ht="30">
      <c r="A1" s="5" t="s">
        <v>832</v>
      </c>
      <c r="B1" s="5" t="s">
        <v>833</v>
      </c>
      <c r="C1" s="5"/>
      <c r="D1" s="5" t="s">
        <v>834</v>
      </c>
      <c r="E1" s="5" t="s">
        <v>835</v>
      </c>
      <c r="F1" s="6" t="s">
        <v>836</v>
      </c>
      <c r="G1" s="7" t="s">
        <v>837</v>
      </c>
      <c r="H1" s="5" t="s">
        <v>838</v>
      </c>
      <c r="I1" s="5" t="s">
        <v>839</v>
      </c>
      <c r="J1" s="5" t="s">
        <v>840</v>
      </c>
      <c r="K1" s="8" t="s">
        <v>841</v>
      </c>
      <c r="L1" s="8" t="s">
        <v>842</v>
      </c>
      <c r="M1" s="5" t="s">
        <v>843</v>
      </c>
    </row>
    <row r="2" spans="1:13" s="9" customFormat="1" ht="15" customHeight="1">
      <c r="A2" s="10" t="s">
        <v>844</v>
      </c>
      <c r="B2" s="11"/>
      <c r="C2" s="11"/>
      <c r="D2" s="11"/>
      <c r="E2" s="11"/>
      <c r="F2" s="12"/>
      <c r="G2" s="13"/>
      <c r="H2" s="13"/>
      <c r="I2" s="11"/>
      <c r="J2" s="11"/>
      <c r="K2" s="11"/>
      <c r="L2" s="11"/>
      <c r="M2" s="14"/>
    </row>
    <row r="3" spans="1:13" ht="30">
      <c r="A3" s="15">
        <v>1</v>
      </c>
      <c r="B3" s="16" t="s">
        <v>845</v>
      </c>
      <c r="C3" s="16"/>
      <c r="D3" s="16" t="s">
        <v>846</v>
      </c>
      <c r="E3" s="16" t="s">
        <v>847</v>
      </c>
      <c r="F3" s="17" t="s">
        <v>848</v>
      </c>
      <c r="G3" s="18">
        <v>36</v>
      </c>
      <c r="H3" s="15" t="s">
        <v>849</v>
      </c>
      <c r="I3" s="15" t="s">
        <v>850</v>
      </c>
      <c r="J3" s="15"/>
      <c r="K3" s="19"/>
      <c r="L3" s="19"/>
      <c r="M3" s="15"/>
    </row>
    <row r="4" spans="1:13" ht="60">
      <c r="A4" s="15">
        <f t="shared" ref="A4:A30" si="0">A3+1</f>
        <v>2</v>
      </c>
      <c r="B4" s="16" t="s">
        <v>851</v>
      </c>
      <c r="C4" s="16"/>
      <c r="D4" s="16" t="s">
        <v>852</v>
      </c>
      <c r="E4" s="16" t="s">
        <v>847</v>
      </c>
      <c r="F4" s="17" t="s">
        <v>853</v>
      </c>
      <c r="G4" s="18">
        <v>36</v>
      </c>
      <c r="H4" s="15" t="s">
        <v>854</v>
      </c>
      <c r="I4" s="15" t="s">
        <v>850</v>
      </c>
      <c r="J4" s="15"/>
      <c r="K4" s="19"/>
      <c r="L4" s="19"/>
      <c r="M4" s="15"/>
    </row>
    <row r="5" spans="1:13" ht="30">
      <c r="A5" s="15">
        <f t="shared" si="0"/>
        <v>3</v>
      </c>
      <c r="B5" s="16" t="s">
        <v>855</v>
      </c>
      <c r="C5" s="16"/>
      <c r="D5" s="16" t="s">
        <v>856</v>
      </c>
      <c r="E5" s="16" t="s">
        <v>857</v>
      </c>
      <c r="F5" s="17" t="s">
        <v>858</v>
      </c>
      <c r="G5" s="18">
        <v>12</v>
      </c>
      <c r="H5" s="15" t="s">
        <v>854</v>
      </c>
      <c r="I5" s="15" t="s">
        <v>850</v>
      </c>
      <c r="J5" s="15"/>
      <c r="K5" s="19"/>
      <c r="L5" s="19"/>
      <c r="M5" s="15"/>
    </row>
    <row r="6" spans="1:13" ht="45">
      <c r="A6" s="15">
        <f t="shared" si="0"/>
        <v>4</v>
      </c>
      <c r="B6" s="16" t="s">
        <v>859</v>
      </c>
      <c r="C6" s="16"/>
      <c r="D6" s="16" t="s">
        <v>860</v>
      </c>
      <c r="E6" s="16" t="s">
        <v>847</v>
      </c>
      <c r="F6" s="17"/>
      <c r="G6" s="18">
        <v>36</v>
      </c>
      <c r="H6" s="15" t="s">
        <v>861</v>
      </c>
      <c r="I6" s="15" t="s">
        <v>850</v>
      </c>
      <c r="J6" s="15"/>
      <c r="K6" s="19"/>
      <c r="L6" s="19"/>
      <c r="M6" s="15"/>
    </row>
    <row r="7" spans="1:13" ht="30">
      <c r="A7" s="15">
        <f t="shared" si="0"/>
        <v>5</v>
      </c>
      <c r="B7" s="16" t="s">
        <v>862</v>
      </c>
      <c r="C7" s="16"/>
      <c r="D7" s="16" t="s">
        <v>863</v>
      </c>
      <c r="E7" s="16" t="s">
        <v>857</v>
      </c>
      <c r="F7" s="17" t="s">
        <v>864</v>
      </c>
      <c r="G7" s="18">
        <v>36</v>
      </c>
      <c r="H7" s="15" t="s">
        <v>861</v>
      </c>
      <c r="I7" s="15" t="s">
        <v>850</v>
      </c>
      <c r="J7" s="15"/>
      <c r="K7" s="19"/>
      <c r="L7" s="19"/>
      <c r="M7" s="15"/>
    </row>
    <row r="8" spans="1:13">
      <c r="A8" s="15">
        <f t="shared" si="0"/>
        <v>6</v>
      </c>
      <c r="B8" s="16" t="s">
        <v>865</v>
      </c>
      <c r="C8" s="16"/>
      <c r="D8" s="16" t="s">
        <v>866</v>
      </c>
      <c r="E8" s="16" t="s">
        <v>847</v>
      </c>
      <c r="F8" s="17" t="s">
        <v>867</v>
      </c>
      <c r="G8" s="18"/>
      <c r="H8" s="15" t="s">
        <v>868</v>
      </c>
      <c r="I8" s="15" t="s">
        <v>850</v>
      </c>
      <c r="J8" s="15"/>
      <c r="K8" s="19"/>
      <c r="L8" s="19"/>
      <c r="M8" s="15"/>
    </row>
    <row r="9" spans="1:13" ht="60">
      <c r="A9" s="15">
        <f t="shared" si="0"/>
        <v>7</v>
      </c>
      <c r="B9" s="16" t="s">
        <v>869</v>
      </c>
      <c r="C9" s="16"/>
      <c r="D9" s="16" t="s">
        <v>870</v>
      </c>
      <c r="E9" s="16" t="s">
        <v>847</v>
      </c>
      <c r="F9" s="17" t="s">
        <v>871</v>
      </c>
      <c r="G9" s="18">
        <v>36</v>
      </c>
      <c r="H9" s="15" t="s">
        <v>868</v>
      </c>
      <c r="I9" s="15" t="s">
        <v>850</v>
      </c>
      <c r="J9" s="15"/>
      <c r="K9" s="19"/>
      <c r="L9" s="19"/>
      <c r="M9" s="15"/>
    </row>
    <row r="10" spans="1:13" ht="45">
      <c r="A10" s="15">
        <f t="shared" si="0"/>
        <v>8</v>
      </c>
      <c r="B10" s="16" t="s">
        <v>872</v>
      </c>
      <c r="C10" s="16"/>
      <c r="D10" s="16" t="s">
        <v>873</v>
      </c>
      <c r="E10" s="16" t="s">
        <v>847</v>
      </c>
      <c r="F10" s="17" t="s">
        <v>874</v>
      </c>
      <c r="G10" s="18">
        <v>36</v>
      </c>
      <c r="H10" s="15" t="s">
        <v>868</v>
      </c>
      <c r="I10" s="15" t="s">
        <v>850</v>
      </c>
      <c r="J10" s="15"/>
      <c r="K10" s="19"/>
      <c r="L10" s="19"/>
      <c r="M10" s="15"/>
    </row>
    <row r="11" spans="1:13">
      <c r="A11" s="15">
        <f t="shared" si="0"/>
        <v>9</v>
      </c>
      <c r="B11" s="16" t="s">
        <v>872</v>
      </c>
      <c r="C11" s="16"/>
      <c r="D11" s="16" t="s">
        <v>866</v>
      </c>
      <c r="E11" s="16"/>
      <c r="F11" s="17" t="s">
        <v>875</v>
      </c>
      <c r="G11" s="18"/>
      <c r="H11" s="15" t="s">
        <v>117</v>
      </c>
      <c r="I11" s="15" t="s">
        <v>850</v>
      </c>
      <c r="J11" s="15"/>
      <c r="K11" s="19"/>
      <c r="L11" s="19"/>
      <c r="M11" s="15"/>
    </row>
    <row r="12" spans="1:13" ht="75">
      <c r="A12" s="15">
        <f t="shared" si="0"/>
        <v>10</v>
      </c>
      <c r="B12" s="16" t="s">
        <v>876</v>
      </c>
      <c r="C12" s="16"/>
      <c r="D12" s="16" t="s">
        <v>877</v>
      </c>
      <c r="E12" s="16" t="s">
        <v>847</v>
      </c>
      <c r="F12" s="17" t="s">
        <v>878</v>
      </c>
      <c r="G12" s="18">
        <v>36</v>
      </c>
      <c r="H12" s="15" t="s">
        <v>724</v>
      </c>
      <c r="I12" s="15" t="s">
        <v>850</v>
      </c>
      <c r="J12" s="15"/>
      <c r="K12" s="19"/>
      <c r="L12" s="19"/>
      <c r="M12" s="15"/>
    </row>
    <row r="13" spans="1:13" ht="45">
      <c r="A13" s="15">
        <f t="shared" si="0"/>
        <v>11</v>
      </c>
      <c r="B13" s="16" t="s">
        <v>879</v>
      </c>
      <c r="C13" s="16"/>
      <c r="D13" s="16" t="s">
        <v>880</v>
      </c>
      <c r="E13" s="16" t="s">
        <v>847</v>
      </c>
      <c r="F13" s="17">
        <v>44761</v>
      </c>
      <c r="G13" s="18">
        <v>36</v>
      </c>
      <c r="H13" s="15"/>
      <c r="I13" s="15" t="s">
        <v>850</v>
      </c>
      <c r="J13" s="15"/>
      <c r="K13" s="19"/>
      <c r="L13" s="19"/>
      <c r="M13" s="15"/>
    </row>
    <row r="14" spans="1:13" ht="45">
      <c r="A14" s="15">
        <f t="shared" si="0"/>
        <v>12</v>
      </c>
      <c r="B14" s="16" t="s">
        <v>881</v>
      </c>
      <c r="C14" s="16"/>
      <c r="D14" s="16" t="s">
        <v>882</v>
      </c>
      <c r="E14" s="16" t="s">
        <v>847</v>
      </c>
      <c r="F14" s="17"/>
      <c r="G14" s="18">
        <v>36</v>
      </c>
      <c r="H14" s="15" t="s">
        <v>234</v>
      </c>
      <c r="I14" s="15" t="s">
        <v>850</v>
      </c>
      <c r="J14" s="15"/>
      <c r="K14" s="19"/>
      <c r="L14" s="19"/>
      <c r="M14" s="15"/>
    </row>
    <row r="15" spans="1:13" ht="30">
      <c r="A15" s="15">
        <f t="shared" si="0"/>
        <v>13</v>
      </c>
      <c r="B15" s="16" t="s">
        <v>883</v>
      </c>
      <c r="C15" s="16"/>
      <c r="D15" s="16" t="s">
        <v>884</v>
      </c>
      <c r="E15" s="16" t="s">
        <v>857</v>
      </c>
      <c r="F15" s="17">
        <v>44761</v>
      </c>
      <c r="G15" s="18">
        <v>24</v>
      </c>
      <c r="H15" s="15" t="s">
        <v>234</v>
      </c>
      <c r="I15" s="15" t="s">
        <v>850</v>
      </c>
      <c r="J15" s="15"/>
      <c r="K15" s="19"/>
      <c r="L15" s="19"/>
      <c r="M15" s="15"/>
    </row>
    <row r="16" spans="1:13" ht="30">
      <c r="A16" s="15">
        <f t="shared" si="0"/>
        <v>14</v>
      </c>
      <c r="B16" s="16" t="s">
        <v>885</v>
      </c>
      <c r="C16" s="16"/>
      <c r="D16" s="16" t="s">
        <v>886</v>
      </c>
      <c r="E16" s="16" t="s">
        <v>857</v>
      </c>
      <c r="F16" s="17" t="s">
        <v>848</v>
      </c>
      <c r="G16" s="18">
        <v>24</v>
      </c>
      <c r="H16" s="15" t="s">
        <v>234</v>
      </c>
      <c r="I16" s="15" t="s">
        <v>850</v>
      </c>
      <c r="J16" s="15"/>
      <c r="K16" s="19"/>
      <c r="L16" s="19"/>
      <c r="M16" s="15"/>
    </row>
    <row r="17" spans="1:13" ht="90">
      <c r="A17" s="15">
        <f t="shared" si="0"/>
        <v>15</v>
      </c>
      <c r="B17" s="16" t="s">
        <v>887</v>
      </c>
      <c r="C17" s="16"/>
      <c r="D17" s="16" t="s">
        <v>888</v>
      </c>
      <c r="E17" s="16" t="s">
        <v>847</v>
      </c>
      <c r="F17" s="17"/>
      <c r="G17" s="18">
        <v>36</v>
      </c>
      <c r="H17" s="15" t="s">
        <v>726</v>
      </c>
      <c r="I17" s="15" t="s">
        <v>850</v>
      </c>
      <c r="J17" s="15"/>
      <c r="K17" s="19"/>
      <c r="L17" s="19"/>
      <c r="M17" s="15"/>
    </row>
    <row r="18" spans="1:13" ht="90">
      <c r="A18" s="15">
        <f t="shared" si="0"/>
        <v>16</v>
      </c>
      <c r="B18" s="16" t="s">
        <v>889</v>
      </c>
      <c r="C18" s="16"/>
      <c r="D18" s="16" t="s">
        <v>890</v>
      </c>
      <c r="E18" s="16" t="s">
        <v>847</v>
      </c>
      <c r="F18" s="17"/>
      <c r="G18" s="21">
        <v>36</v>
      </c>
      <c r="H18" s="15" t="s">
        <v>891</v>
      </c>
      <c r="I18" s="15" t="s">
        <v>850</v>
      </c>
      <c r="J18" s="15"/>
      <c r="K18" s="19"/>
      <c r="L18" s="19"/>
      <c r="M18" s="15"/>
    </row>
    <row r="19" spans="1:13">
      <c r="A19" s="15">
        <f t="shared" si="0"/>
        <v>17</v>
      </c>
      <c r="B19" s="16" t="s">
        <v>892</v>
      </c>
      <c r="C19" s="16"/>
      <c r="D19" s="16" t="s">
        <v>893</v>
      </c>
      <c r="E19" s="16"/>
      <c r="F19" s="17"/>
      <c r="G19" s="22"/>
      <c r="H19" s="15" t="s">
        <v>117</v>
      </c>
      <c r="I19" s="15" t="s">
        <v>850</v>
      </c>
      <c r="J19" s="15"/>
      <c r="K19" s="19"/>
      <c r="L19" s="19"/>
      <c r="M19" s="15"/>
    </row>
    <row r="20" spans="1:13" ht="90">
      <c r="A20" s="23">
        <f t="shared" si="0"/>
        <v>18</v>
      </c>
      <c r="B20" s="24" t="s">
        <v>894</v>
      </c>
      <c r="C20" s="24"/>
      <c r="D20" s="24" t="s">
        <v>890</v>
      </c>
      <c r="E20" s="24" t="s">
        <v>847</v>
      </c>
      <c r="F20" s="25"/>
      <c r="G20" s="22">
        <v>36</v>
      </c>
      <c r="H20" s="23" t="s">
        <v>238</v>
      </c>
      <c r="I20" s="23" t="s">
        <v>850</v>
      </c>
      <c r="J20" s="23"/>
      <c r="K20" s="26"/>
      <c r="L20" s="26"/>
      <c r="M20" s="23"/>
    </row>
    <row r="21" spans="1:13">
      <c r="A21" s="27">
        <f t="shared" si="0"/>
        <v>19</v>
      </c>
      <c r="B21" s="28" t="s">
        <v>895</v>
      </c>
      <c r="C21" s="28"/>
      <c r="D21" s="28" t="s">
        <v>866</v>
      </c>
      <c r="E21" s="28" t="s">
        <v>847</v>
      </c>
      <c r="F21" s="29"/>
      <c r="G21" s="21">
        <v>33</v>
      </c>
      <c r="H21" s="27" t="s">
        <v>238</v>
      </c>
      <c r="I21" s="27" t="s">
        <v>850</v>
      </c>
      <c r="J21" s="27"/>
      <c r="K21" s="30"/>
      <c r="L21" s="30"/>
      <c r="M21" s="27"/>
    </row>
    <row r="22" spans="1:13" ht="30">
      <c r="A22" s="27">
        <f t="shared" si="0"/>
        <v>20</v>
      </c>
      <c r="B22" s="28"/>
      <c r="C22" s="28"/>
      <c r="D22" s="28" t="s">
        <v>896</v>
      </c>
      <c r="E22" s="28" t="s">
        <v>897</v>
      </c>
      <c r="F22" s="29">
        <v>45812</v>
      </c>
      <c r="G22" s="31"/>
      <c r="H22" s="27" t="s">
        <v>724</v>
      </c>
      <c r="I22" s="27" t="s">
        <v>850</v>
      </c>
      <c r="J22" s="27"/>
      <c r="K22" s="30"/>
      <c r="L22" s="30"/>
      <c r="M22" s="27"/>
    </row>
    <row r="23" spans="1:13" ht="60">
      <c r="A23" s="27">
        <f t="shared" si="0"/>
        <v>21</v>
      </c>
      <c r="B23" s="32" t="s">
        <v>898</v>
      </c>
      <c r="C23" s="32"/>
      <c r="D23" s="33" t="s">
        <v>899</v>
      </c>
      <c r="E23" s="32" t="s">
        <v>847</v>
      </c>
      <c r="F23" s="34">
        <v>44127</v>
      </c>
      <c r="G23" s="31">
        <v>36</v>
      </c>
      <c r="H23" s="35" t="s">
        <v>900</v>
      </c>
      <c r="I23" s="32" t="s">
        <v>901</v>
      </c>
      <c r="J23" s="27"/>
      <c r="K23" s="30"/>
      <c r="L23" s="30"/>
      <c r="M23" s="27"/>
    </row>
    <row r="24" spans="1:13" ht="60">
      <c r="A24" s="27">
        <f>A23+1</f>
        <v>22</v>
      </c>
      <c r="B24" s="32" t="s">
        <v>902</v>
      </c>
      <c r="C24" s="32"/>
      <c r="D24" s="33" t="s">
        <v>903</v>
      </c>
      <c r="E24" s="32" t="s">
        <v>847</v>
      </c>
      <c r="F24" s="34">
        <v>43769</v>
      </c>
      <c r="G24" s="31">
        <v>36</v>
      </c>
      <c r="H24" s="36" t="s">
        <v>904</v>
      </c>
      <c r="I24" s="32" t="s">
        <v>901</v>
      </c>
      <c r="J24" s="27"/>
      <c r="K24" s="30"/>
      <c r="L24" s="30"/>
      <c r="M24" s="27"/>
    </row>
    <row r="25" spans="1:13" ht="45">
      <c r="A25" s="27">
        <f>A24+1</f>
        <v>23</v>
      </c>
      <c r="B25" s="32" t="s">
        <v>905</v>
      </c>
      <c r="C25" s="32"/>
      <c r="D25" s="33" t="s">
        <v>906</v>
      </c>
      <c r="E25" s="32" t="s">
        <v>847</v>
      </c>
      <c r="F25" s="34">
        <v>43973</v>
      </c>
      <c r="G25" s="31">
        <v>36</v>
      </c>
      <c r="H25" s="27" t="s">
        <v>907</v>
      </c>
      <c r="I25" s="32" t="s">
        <v>901</v>
      </c>
      <c r="J25" s="27"/>
      <c r="K25" s="30"/>
      <c r="L25" s="30"/>
      <c r="M25" s="27"/>
    </row>
    <row r="26" spans="1:13" ht="60">
      <c r="A26" s="27">
        <f>A25+1</f>
        <v>24</v>
      </c>
      <c r="B26" s="32" t="s">
        <v>908</v>
      </c>
      <c r="C26" s="32"/>
      <c r="D26" s="33" t="s">
        <v>909</v>
      </c>
      <c r="E26" s="37" t="s">
        <v>847</v>
      </c>
      <c r="F26" s="38">
        <v>43972</v>
      </c>
      <c r="G26" s="31">
        <v>36</v>
      </c>
      <c r="H26" s="27" t="s">
        <v>907</v>
      </c>
      <c r="I26" s="32" t="s">
        <v>901</v>
      </c>
      <c r="J26" s="27"/>
      <c r="K26" s="30"/>
      <c r="L26" s="30"/>
      <c r="M26" s="27"/>
    </row>
    <row r="27" spans="1:13" ht="60">
      <c r="A27" s="27">
        <f t="shared" si="0"/>
        <v>25</v>
      </c>
      <c r="B27" s="32" t="s">
        <v>910</v>
      </c>
      <c r="C27" s="32"/>
      <c r="D27" s="33" t="s">
        <v>911</v>
      </c>
      <c r="E27" s="37" t="s">
        <v>847</v>
      </c>
      <c r="F27" s="38">
        <v>43972</v>
      </c>
      <c r="G27" s="31">
        <v>36</v>
      </c>
      <c r="H27" s="27" t="s">
        <v>907</v>
      </c>
      <c r="I27" s="32" t="s">
        <v>901</v>
      </c>
      <c r="J27" s="27"/>
      <c r="K27" s="30"/>
      <c r="L27" s="30"/>
      <c r="M27" s="27"/>
    </row>
    <row r="28" spans="1:13" ht="30">
      <c r="A28" s="27">
        <f t="shared" si="0"/>
        <v>26</v>
      </c>
      <c r="B28" s="39" t="s">
        <v>912</v>
      </c>
      <c r="C28" s="39"/>
      <c r="D28" s="28" t="s">
        <v>913</v>
      </c>
      <c r="E28" s="40" t="s">
        <v>847</v>
      </c>
      <c r="F28" s="41" t="s">
        <v>914</v>
      </c>
      <c r="G28" s="31">
        <v>36</v>
      </c>
      <c r="H28" s="35" t="s">
        <v>915</v>
      </c>
      <c r="I28" s="27" t="s">
        <v>629</v>
      </c>
      <c r="J28" s="27"/>
      <c r="K28" s="30"/>
      <c r="L28" s="30"/>
      <c r="M28" s="27"/>
    </row>
    <row r="29" spans="1:13" ht="60">
      <c r="A29" s="27" t="e">
        <f>#REF!+1</f>
        <v>#REF!</v>
      </c>
      <c r="B29" s="39" t="s">
        <v>916</v>
      </c>
      <c r="C29" s="39"/>
      <c r="D29" s="28" t="s">
        <v>917</v>
      </c>
      <c r="E29" s="40" t="s">
        <v>847</v>
      </c>
      <c r="F29" s="41" t="s">
        <v>918</v>
      </c>
      <c r="G29" s="31">
        <v>36</v>
      </c>
      <c r="H29" s="35" t="s">
        <v>919</v>
      </c>
      <c r="I29" s="27" t="s">
        <v>629</v>
      </c>
      <c r="J29" s="27"/>
      <c r="K29" s="30"/>
      <c r="L29" s="30"/>
      <c r="M29" s="27"/>
    </row>
    <row r="30" spans="1:13" ht="15.75">
      <c r="A30" s="27" t="e">
        <f t="shared" si="0"/>
        <v>#REF!</v>
      </c>
      <c r="B30" s="42" t="s">
        <v>920</v>
      </c>
      <c r="C30" s="42"/>
      <c r="D30" s="28" t="s">
        <v>921</v>
      </c>
      <c r="E30" s="40" t="s">
        <v>847</v>
      </c>
      <c r="F30" s="41" t="s">
        <v>922</v>
      </c>
      <c r="G30" s="31">
        <v>24</v>
      </c>
      <c r="H30" s="35" t="s">
        <v>923</v>
      </c>
      <c r="I30" s="27" t="s">
        <v>629</v>
      </c>
      <c r="J30" s="27"/>
      <c r="K30" s="30"/>
      <c r="L30" s="30"/>
      <c r="M30" s="27"/>
    </row>
    <row r="31" spans="1:13" ht="15.75">
      <c r="A31" s="27"/>
      <c r="B31" s="42" t="s">
        <v>924</v>
      </c>
      <c r="C31" s="42"/>
      <c r="D31" s="28" t="s">
        <v>925</v>
      </c>
      <c r="E31" s="40" t="s">
        <v>857</v>
      </c>
      <c r="F31" s="43">
        <v>44935</v>
      </c>
      <c r="G31" s="31">
        <v>24</v>
      </c>
      <c r="H31" s="35" t="s">
        <v>125</v>
      </c>
      <c r="I31" s="27" t="s">
        <v>629</v>
      </c>
      <c r="J31" s="27"/>
      <c r="K31" s="30"/>
      <c r="L31" s="30"/>
      <c r="M31" s="27"/>
    </row>
    <row r="32" spans="1:13" ht="15.75">
      <c r="A32" s="27"/>
      <c r="B32" s="42" t="s">
        <v>926</v>
      </c>
      <c r="C32" s="42"/>
      <c r="D32" s="28" t="s">
        <v>927</v>
      </c>
      <c r="E32" s="40" t="s">
        <v>857</v>
      </c>
      <c r="F32" s="43">
        <v>45181</v>
      </c>
      <c r="G32" s="31">
        <v>12</v>
      </c>
      <c r="H32" s="27"/>
      <c r="I32" s="27" t="s">
        <v>629</v>
      </c>
      <c r="J32" s="44" t="s">
        <v>928</v>
      </c>
      <c r="K32" s="30"/>
      <c r="L32" s="30"/>
      <c r="M32" s="27"/>
    </row>
    <row r="33" spans="1:13" ht="15.75">
      <c r="A33" s="27"/>
      <c r="B33" s="42" t="s">
        <v>929</v>
      </c>
      <c r="C33" s="42"/>
      <c r="D33" s="28" t="s">
        <v>930</v>
      </c>
      <c r="E33" s="40" t="s">
        <v>857</v>
      </c>
      <c r="F33" s="43">
        <v>45181</v>
      </c>
      <c r="G33" s="31">
        <v>12</v>
      </c>
      <c r="H33" s="35" t="s">
        <v>125</v>
      </c>
      <c r="I33" s="27" t="s">
        <v>629</v>
      </c>
      <c r="J33" s="27"/>
      <c r="K33" s="30"/>
      <c r="L33" s="30"/>
      <c r="M33" s="27"/>
    </row>
    <row r="34" spans="1:13" ht="15.75">
      <c r="A34" s="27"/>
      <c r="B34" s="42" t="s">
        <v>931</v>
      </c>
      <c r="C34" s="42"/>
      <c r="D34" s="28" t="s">
        <v>932</v>
      </c>
      <c r="E34" s="40" t="s">
        <v>857</v>
      </c>
      <c r="F34" s="41" t="s">
        <v>933</v>
      </c>
      <c r="G34" s="31">
        <v>24</v>
      </c>
      <c r="H34" s="35" t="s">
        <v>919</v>
      </c>
      <c r="I34" s="27" t="s">
        <v>629</v>
      </c>
      <c r="J34" s="27"/>
      <c r="K34" s="30"/>
      <c r="L34" s="30"/>
      <c r="M34" s="27"/>
    </row>
    <row r="35" spans="1:13" ht="30">
      <c r="A35" s="27"/>
      <c r="B35" s="42" t="s">
        <v>934</v>
      </c>
      <c r="C35" s="42"/>
      <c r="D35" s="28" t="s">
        <v>935</v>
      </c>
      <c r="E35" s="40" t="s">
        <v>857</v>
      </c>
      <c r="F35" s="41" t="s">
        <v>936</v>
      </c>
      <c r="G35" s="31">
        <v>36</v>
      </c>
      <c r="H35" s="35" t="s">
        <v>919</v>
      </c>
      <c r="I35" s="27" t="s">
        <v>629</v>
      </c>
      <c r="J35" s="27"/>
      <c r="K35" s="30"/>
      <c r="L35" s="30"/>
      <c r="M35" s="27"/>
    </row>
    <row r="36" spans="1:13" ht="15.75">
      <c r="A36" s="27"/>
      <c r="B36" s="42" t="s">
        <v>937</v>
      </c>
      <c r="C36" s="42"/>
      <c r="D36" s="28" t="s">
        <v>938</v>
      </c>
      <c r="E36" s="40" t="s">
        <v>857</v>
      </c>
      <c r="F36" s="45">
        <v>43466</v>
      </c>
      <c r="G36" s="31">
        <v>12</v>
      </c>
      <c r="H36" s="27"/>
      <c r="I36" s="27" t="s">
        <v>629</v>
      </c>
      <c r="J36" s="44" t="s">
        <v>939</v>
      </c>
      <c r="K36" s="30"/>
      <c r="L36" s="30"/>
      <c r="M36" s="27"/>
    </row>
    <row r="37" spans="1:13" ht="90">
      <c r="A37" s="27"/>
      <c r="B37" s="39" t="s">
        <v>940</v>
      </c>
      <c r="C37" s="39"/>
      <c r="D37" s="28" t="s">
        <v>941</v>
      </c>
      <c r="E37" s="40" t="s">
        <v>847</v>
      </c>
      <c r="F37" s="41" t="s">
        <v>942</v>
      </c>
      <c r="G37" s="46">
        <v>36</v>
      </c>
      <c r="H37" s="35" t="s">
        <v>711</v>
      </c>
      <c r="I37" s="27" t="s">
        <v>629</v>
      </c>
      <c r="J37" s="27"/>
      <c r="K37" s="30"/>
      <c r="L37" s="30"/>
      <c r="M37" s="27"/>
    </row>
    <row r="38" spans="1:13" ht="120">
      <c r="A38" s="27"/>
      <c r="B38" s="39" t="s">
        <v>943</v>
      </c>
      <c r="C38" s="39"/>
      <c r="D38" s="28" t="s">
        <v>944</v>
      </c>
      <c r="E38" s="40" t="s">
        <v>847</v>
      </c>
      <c r="F38" s="43">
        <v>44821</v>
      </c>
      <c r="G38" s="46">
        <v>36</v>
      </c>
      <c r="H38" s="35" t="s">
        <v>127</v>
      </c>
      <c r="I38" s="27" t="s">
        <v>629</v>
      </c>
      <c r="J38" s="27"/>
      <c r="K38" s="30"/>
      <c r="L38" s="30"/>
      <c r="M38" s="27"/>
    </row>
    <row r="39" spans="1:13">
      <c r="A39" s="27"/>
      <c r="B39" s="47" t="s">
        <v>945</v>
      </c>
      <c r="C39" s="47"/>
      <c r="D39" s="33" t="s">
        <v>927</v>
      </c>
      <c r="E39" s="32" t="s">
        <v>857</v>
      </c>
      <c r="F39" s="48" t="s">
        <v>946</v>
      </c>
      <c r="G39" s="18">
        <v>12</v>
      </c>
      <c r="H39" s="27"/>
      <c r="I39" s="27" t="s">
        <v>629</v>
      </c>
      <c r="J39" s="44" t="s">
        <v>928</v>
      </c>
      <c r="K39" s="30"/>
      <c r="L39" s="30"/>
      <c r="M39" s="27"/>
    </row>
    <row r="40" spans="1:13" ht="135">
      <c r="A40" s="27"/>
      <c r="B40" s="32" t="s">
        <v>947</v>
      </c>
      <c r="C40" s="32"/>
      <c r="D40" s="33" t="s">
        <v>948</v>
      </c>
      <c r="E40" s="32" t="s">
        <v>847</v>
      </c>
      <c r="F40" s="48" t="s">
        <v>949</v>
      </c>
      <c r="G40" s="18">
        <v>36</v>
      </c>
      <c r="H40" s="49" t="s">
        <v>125</v>
      </c>
      <c r="I40" s="27" t="s">
        <v>629</v>
      </c>
      <c r="J40" s="27"/>
      <c r="K40" s="30"/>
      <c r="L40" s="30"/>
      <c r="M40" s="27"/>
    </row>
    <row r="41" spans="1:13">
      <c r="A41" s="27"/>
      <c r="B41" s="47" t="s">
        <v>950</v>
      </c>
      <c r="C41" s="47"/>
      <c r="D41" s="33" t="s">
        <v>927</v>
      </c>
      <c r="E41" s="32" t="s">
        <v>857</v>
      </c>
      <c r="F41" s="48" t="s">
        <v>946</v>
      </c>
      <c r="G41" s="18">
        <v>12</v>
      </c>
      <c r="H41" s="27"/>
      <c r="I41" s="27" t="s">
        <v>629</v>
      </c>
      <c r="J41" s="44" t="s">
        <v>928</v>
      </c>
      <c r="K41" s="30"/>
      <c r="L41" s="30"/>
      <c r="M41" s="27"/>
    </row>
    <row r="42" spans="1:13" ht="30">
      <c r="A42" s="27"/>
      <c r="B42" s="47" t="s">
        <v>951</v>
      </c>
      <c r="C42" s="47"/>
      <c r="D42" s="33" t="s">
        <v>952</v>
      </c>
      <c r="E42" s="32" t="s">
        <v>857</v>
      </c>
      <c r="F42" s="48" t="s">
        <v>953</v>
      </c>
      <c r="G42" s="18">
        <v>60</v>
      </c>
      <c r="H42" s="49" t="s">
        <v>125</v>
      </c>
      <c r="I42" s="27" t="s">
        <v>629</v>
      </c>
      <c r="J42" s="27"/>
      <c r="K42" s="30"/>
      <c r="L42" s="30"/>
      <c r="M42" s="27"/>
    </row>
    <row r="43" spans="1:13" ht="105">
      <c r="A43" s="27"/>
      <c r="B43" s="47" t="s">
        <v>954</v>
      </c>
      <c r="C43" s="47"/>
      <c r="D43" s="33" t="s">
        <v>955</v>
      </c>
      <c r="E43" s="32" t="s">
        <v>847</v>
      </c>
      <c r="F43" s="48" t="s">
        <v>956</v>
      </c>
      <c r="G43" s="18">
        <v>36</v>
      </c>
      <c r="H43" s="49" t="s">
        <v>712</v>
      </c>
      <c r="I43" s="27" t="s">
        <v>629</v>
      </c>
      <c r="J43" s="27"/>
      <c r="K43" s="30"/>
      <c r="L43" s="30"/>
      <c r="M43" s="27"/>
    </row>
    <row r="44" spans="1:13">
      <c r="A44" s="27"/>
      <c r="B44" s="32" t="s">
        <v>957</v>
      </c>
      <c r="C44" s="32"/>
      <c r="D44" s="33" t="s">
        <v>958</v>
      </c>
      <c r="E44" s="32" t="s">
        <v>847</v>
      </c>
      <c r="F44" s="34">
        <v>43466</v>
      </c>
      <c r="G44" s="50"/>
      <c r="H44" s="27" t="s">
        <v>721</v>
      </c>
      <c r="I44" s="27" t="s">
        <v>717</v>
      </c>
      <c r="J44" s="27"/>
      <c r="K44" s="30"/>
      <c r="L44" s="30"/>
      <c r="M44" s="27"/>
    </row>
    <row r="45" spans="1:13" ht="30">
      <c r="A45" s="27"/>
      <c r="B45" s="47" t="s">
        <v>959</v>
      </c>
      <c r="C45" s="47"/>
      <c r="D45" s="33" t="s">
        <v>960</v>
      </c>
      <c r="E45" s="32" t="s">
        <v>857</v>
      </c>
      <c r="F45" s="34">
        <v>44736</v>
      </c>
      <c r="G45" s="50"/>
      <c r="H45" s="27" t="s">
        <v>721</v>
      </c>
      <c r="I45" s="27" t="s">
        <v>717</v>
      </c>
      <c r="J45" s="27"/>
      <c r="K45" s="30"/>
      <c r="L45" s="30"/>
      <c r="M45" s="27"/>
    </row>
    <row r="46" spans="1:13" ht="45">
      <c r="A46" s="27"/>
      <c r="B46" s="32" t="s">
        <v>961</v>
      </c>
      <c r="C46" s="32"/>
      <c r="D46" s="33" t="s">
        <v>962</v>
      </c>
      <c r="E46" s="32" t="s">
        <v>847</v>
      </c>
      <c r="F46" s="34">
        <v>43872</v>
      </c>
      <c r="G46" s="50"/>
      <c r="H46" s="49" t="s">
        <v>963</v>
      </c>
      <c r="I46" s="27" t="s">
        <v>717</v>
      </c>
      <c r="J46" s="27"/>
      <c r="K46" s="30"/>
      <c r="L46" s="30"/>
      <c r="M46" s="27"/>
    </row>
    <row r="47" spans="1:13" ht="45">
      <c r="A47" s="27"/>
      <c r="B47" s="32" t="s">
        <v>964</v>
      </c>
      <c r="C47" s="32"/>
      <c r="D47" s="33" t="s">
        <v>965</v>
      </c>
      <c r="E47" s="32" t="s">
        <v>847</v>
      </c>
      <c r="F47" s="34">
        <v>43872</v>
      </c>
      <c r="G47" s="50"/>
      <c r="H47" s="49" t="s">
        <v>966</v>
      </c>
      <c r="I47" s="27" t="s">
        <v>717</v>
      </c>
      <c r="J47" s="27"/>
      <c r="K47" s="30"/>
      <c r="L47" s="30"/>
      <c r="M47" s="27"/>
    </row>
    <row r="48" spans="1:13">
      <c r="A48" s="27"/>
      <c r="B48" s="51" t="s">
        <v>967</v>
      </c>
      <c r="C48" s="51"/>
      <c r="D48" s="33" t="s">
        <v>968</v>
      </c>
      <c r="E48" s="32"/>
      <c r="F48" s="34"/>
      <c r="G48" s="50"/>
      <c r="H48" s="49" t="s">
        <v>969</v>
      </c>
      <c r="I48" s="27" t="s">
        <v>717</v>
      </c>
      <c r="J48" s="27"/>
      <c r="K48" s="30"/>
      <c r="L48" s="30"/>
      <c r="M48" s="27"/>
    </row>
    <row r="49" spans="1:13">
      <c r="A49" s="27"/>
      <c r="B49" s="51" t="s">
        <v>881</v>
      </c>
      <c r="C49" s="51"/>
      <c r="D49" s="33" t="s">
        <v>970</v>
      </c>
      <c r="E49" s="32"/>
      <c r="F49" s="34"/>
      <c r="G49" s="50"/>
      <c r="H49" s="27" t="s">
        <v>971</v>
      </c>
      <c r="I49" s="27" t="s">
        <v>717</v>
      </c>
      <c r="J49" s="27"/>
      <c r="K49" s="30"/>
      <c r="L49" s="30"/>
      <c r="M49" s="27"/>
    </row>
    <row r="50" spans="1:13" ht="60">
      <c r="A50" s="27"/>
      <c r="B50" s="32" t="s">
        <v>972</v>
      </c>
      <c r="C50" s="32"/>
      <c r="D50" s="33" t="s">
        <v>973</v>
      </c>
      <c r="E50" s="32" t="s">
        <v>847</v>
      </c>
      <c r="F50" s="34">
        <v>44491</v>
      </c>
      <c r="G50" s="50"/>
      <c r="H50" s="27"/>
      <c r="I50" s="27" t="s">
        <v>717</v>
      </c>
      <c r="J50" s="27"/>
      <c r="K50" s="30"/>
      <c r="L50" s="30"/>
      <c r="M50" s="27"/>
    </row>
    <row r="51" spans="1:13">
      <c r="A51" s="27"/>
      <c r="B51" s="32" t="s">
        <v>974</v>
      </c>
      <c r="C51" s="32"/>
      <c r="D51" s="33" t="s">
        <v>975</v>
      </c>
      <c r="E51" s="32" t="s">
        <v>847</v>
      </c>
      <c r="F51" s="34"/>
      <c r="G51" s="50"/>
      <c r="H51" s="27" t="s">
        <v>721</v>
      </c>
      <c r="I51" s="27" t="s">
        <v>717</v>
      </c>
      <c r="J51" s="27"/>
      <c r="K51" s="30"/>
      <c r="L51" s="30"/>
      <c r="M51" s="27"/>
    </row>
    <row r="52" spans="1:13" ht="60">
      <c r="A52" s="27"/>
      <c r="B52" s="32" t="s">
        <v>976</v>
      </c>
      <c r="C52" s="32"/>
      <c r="D52" s="33" t="s">
        <v>977</v>
      </c>
      <c r="E52" s="32" t="s">
        <v>847</v>
      </c>
      <c r="F52" s="34">
        <v>43760</v>
      </c>
      <c r="G52" s="18">
        <v>36</v>
      </c>
      <c r="H52" s="27" t="s">
        <v>707</v>
      </c>
      <c r="I52" s="27" t="s">
        <v>978</v>
      </c>
      <c r="J52" s="27"/>
      <c r="K52" s="30"/>
      <c r="L52" s="30"/>
      <c r="M52" s="27"/>
    </row>
    <row r="53" spans="1:13">
      <c r="A53" s="27"/>
      <c r="B53" s="27"/>
      <c r="C53" s="27"/>
      <c r="D53" s="33"/>
      <c r="E53" s="27"/>
      <c r="F53" s="52"/>
      <c r="G53" s="50"/>
      <c r="H53" s="27"/>
      <c r="I53" s="27" t="s">
        <v>978</v>
      </c>
      <c r="J53" s="27"/>
      <c r="K53" s="30"/>
      <c r="L53" s="30"/>
      <c r="M53" s="27"/>
    </row>
    <row r="54" spans="1:13" ht="30">
      <c r="A54" s="27"/>
      <c r="B54" s="32" t="s">
        <v>979</v>
      </c>
      <c r="C54" s="32"/>
      <c r="D54" s="33" t="s">
        <v>980</v>
      </c>
      <c r="E54" s="32" t="s">
        <v>847</v>
      </c>
      <c r="F54" s="34">
        <v>43760</v>
      </c>
      <c r="G54" s="18">
        <v>36</v>
      </c>
      <c r="H54" s="27" t="s">
        <v>709</v>
      </c>
      <c r="I54" s="27" t="s">
        <v>978</v>
      </c>
      <c r="J54" s="27"/>
      <c r="K54" s="30"/>
      <c r="L54" s="30"/>
      <c r="M54" s="27"/>
    </row>
    <row r="55" spans="1:13">
      <c r="A55" s="27"/>
      <c r="B55" s="32" t="s">
        <v>981</v>
      </c>
      <c r="C55" s="32"/>
      <c r="D55" s="33" t="s">
        <v>982</v>
      </c>
      <c r="E55" s="32" t="s">
        <v>847</v>
      </c>
      <c r="F55" s="48" t="s">
        <v>983</v>
      </c>
      <c r="G55" s="18">
        <v>12</v>
      </c>
      <c r="H55" s="27" t="s">
        <v>984</v>
      </c>
      <c r="I55" s="27" t="s">
        <v>978</v>
      </c>
      <c r="J55" s="27"/>
      <c r="K55" s="30"/>
      <c r="L55" s="30"/>
      <c r="M55" s="27"/>
    </row>
    <row r="56" spans="1:13">
      <c r="A56" s="27"/>
      <c r="B56" s="53" t="s">
        <v>985</v>
      </c>
      <c r="C56" s="53"/>
      <c r="D56" s="54" t="s">
        <v>986</v>
      </c>
      <c r="E56" s="53"/>
      <c r="F56" s="55"/>
      <c r="G56" s="56"/>
      <c r="H56" s="36"/>
      <c r="I56" s="27" t="s">
        <v>978</v>
      </c>
      <c r="J56" s="27"/>
      <c r="K56" s="30"/>
      <c r="L56" s="30"/>
      <c r="M56" s="27"/>
    </row>
    <row r="57" spans="1:13" ht="105">
      <c r="A57" s="27"/>
      <c r="B57" s="32" t="s">
        <v>987</v>
      </c>
      <c r="C57" s="32"/>
      <c r="D57" s="33" t="s">
        <v>988</v>
      </c>
      <c r="E57" s="32" t="s">
        <v>847</v>
      </c>
      <c r="F57" s="48" t="s">
        <v>989</v>
      </c>
      <c r="G57" s="18">
        <v>36</v>
      </c>
      <c r="H57" s="27" t="s">
        <v>708</v>
      </c>
      <c r="I57" s="27" t="s">
        <v>978</v>
      </c>
      <c r="J57" s="27"/>
      <c r="K57" s="30"/>
      <c r="L57" s="30"/>
      <c r="M57" s="27"/>
    </row>
    <row r="58" spans="1:13">
      <c r="A58" s="27"/>
      <c r="B58" s="32" t="s">
        <v>990</v>
      </c>
      <c r="C58" s="32"/>
      <c r="D58" s="33" t="s">
        <v>991</v>
      </c>
      <c r="E58" s="32" t="s">
        <v>992</v>
      </c>
      <c r="F58" s="48" t="s">
        <v>993</v>
      </c>
      <c r="G58" s="18"/>
      <c r="H58" s="27" t="s">
        <v>709</v>
      </c>
      <c r="I58" s="27" t="s">
        <v>978</v>
      </c>
      <c r="J58" s="27"/>
      <c r="K58" s="30"/>
      <c r="L58" s="30"/>
      <c r="M58" s="27"/>
    </row>
    <row r="59" spans="1:13">
      <c r="A59" s="27"/>
      <c r="B59" s="32" t="s">
        <v>990</v>
      </c>
      <c r="C59" s="32"/>
      <c r="D59" s="33" t="s">
        <v>991</v>
      </c>
      <c r="E59" s="32" t="s">
        <v>992</v>
      </c>
      <c r="F59" s="48" t="s">
        <v>993</v>
      </c>
      <c r="G59" s="18"/>
      <c r="H59" s="27" t="s">
        <v>709</v>
      </c>
      <c r="I59" s="27" t="s">
        <v>978</v>
      </c>
      <c r="J59" s="27"/>
      <c r="K59" s="30"/>
      <c r="L59" s="30"/>
      <c r="M59" s="27"/>
    </row>
    <row r="60" spans="1:13" ht="30">
      <c r="A60" s="27"/>
      <c r="B60" s="32" t="s">
        <v>994</v>
      </c>
      <c r="C60" s="32"/>
      <c r="D60" s="33" t="s">
        <v>995</v>
      </c>
      <c r="E60" s="32" t="s">
        <v>847</v>
      </c>
      <c r="F60" s="48" t="s">
        <v>996</v>
      </c>
      <c r="G60" s="18"/>
      <c r="H60" s="27" t="s">
        <v>209</v>
      </c>
      <c r="I60" s="27" t="s">
        <v>978</v>
      </c>
      <c r="J60" s="27"/>
      <c r="K60" s="30"/>
      <c r="L60" s="30"/>
      <c r="M60" s="27"/>
    </row>
    <row r="61" spans="1:13">
      <c r="A61" s="27"/>
      <c r="B61" s="32"/>
      <c r="C61" s="32"/>
      <c r="D61" s="33" t="s">
        <v>997</v>
      </c>
      <c r="E61" s="32"/>
      <c r="F61" s="48" t="s">
        <v>998</v>
      </c>
      <c r="G61" s="50"/>
      <c r="H61" s="27" t="s">
        <v>209</v>
      </c>
      <c r="I61" s="27" t="s">
        <v>978</v>
      </c>
      <c r="J61" s="27"/>
      <c r="K61" s="30"/>
      <c r="L61" s="30"/>
      <c r="M61" s="27"/>
    </row>
    <row r="62" spans="1:13" ht="221.25" customHeight="1">
      <c r="A62" s="57"/>
      <c r="B62" s="2" t="s">
        <v>999</v>
      </c>
      <c r="C62" s="2"/>
      <c r="D62" s="2" t="s">
        <v>1000</v>
      </c>
      <c r="E62" s="57" t="s">
        <v>1001</v>
      </c>
      <c r="F62" s="58" t="s">
        <v>1002</v>
      </c>
      <c r="G62" s="59" t="s">
        <v>1003</v>
      </c>
      <c r="H62" s="57" t="s">
        <v>710</v>
      </c>
      <c r="I62" s="57" t="s">
        <v>978</v>
      </c>
      <c r="J62" s="57"/>
      <c r="K62" s="60"/>
      <c r="L62" s="60"/>
      <c r="M62" s="57"/>
    </row>
    <row r="63" spans="1:13" ht="30">
      <c r="A63" s="27"/>
      <c r="B63" s="27"/>
      <c r="C63" s="27"/>
      <c r="D63" s="33" t="s">
        <v>1004</v>
      </c>
      <c r="E63" s="32" t="s">
        <v>1005</v>
      </c>
      <c r="F63" s="52"/>
      <c r="G63" s="50"/>
      <c r="H63" s="27"/>
      <c r="I63" s="27" t="s">
        <v>706</v>
      </c>
      <c r="J63" s="27"/>
      <c r="K63" s="30"/>
      <c r="L63" s="30"/>
      <c r="M63" s="27"/>
    </row>
    <row r="64" spans="1:13">
      <c r="A64" s="27"/>
      <c r="B64" s="27"/>
      <c r="C64" s="27"/>
      <c r="D64" s="33" t="s">
        <v>1006</v>
      </c>
      <c r="E64" s="32" t="s">
        <v>1007</v>
      </c>
      <c r="F64" s="52"/>
      <c r="G64" s="50"/>
      <c r="H64" s="27"/>
      <c r="I64" s="27" t="s">
        <v>706</v>
      </c>
      <c r="J64" s="27"/>
      <c r="K64" s="30"/>
      <c r="L64" s="30"/>
      <c r="M64" s="27"/>
    </row>
    <row r="65" spans="1:13" ht="60">
      <c r="A65" s="27"/>
      <c r="B65" s="32" t="s">
        <v>1008</v>
      </c>
      <c r="C65" s="32"/>
      <c r="D65" s="33" t="s">
        <v>1009</v>
      </c>
      <c r="E65" s="32" t="s">
        <v>847</v>
      </c>
      <c r="F65" s="34">
        <v>43760</v>
      </c>
      <c r="G65" s="18">
        <v>36</v>
      </c>
      <c r="H65" s="27" t="s">
        <v>1010</v>
      </c>
      <c r="I65" s="27" t="s">
        <v>706</v>
      </c>
      <c r="J65" s="27"/>
      <c r="K65" s="30"/>
      <c r="L65" s="30"/>
      <c r="M65" s="27"/>
    </row>
    <row r="66" spans="1:13" ht="30">
      <c r="A66" s="27"/>
      <c r="B66" s="32" t="s">
        <v>1011</v>
      </c>
      <c r="C66" s="32"/>
      <c r="D66" s="33" t="s">
        <v>1012</v>
      </c>
      <c r="E66" s="33" t="s">
        <v>1001</v>
      </c>
      <c r="F66" s="34">
        <v>43466</v>
      </c>
      <c r="G66" s="18">
        <v>12</v>
      </c>
      <c r="H66" s="27" t="s">
        <v>1013</v>
      </c>
      <c r="I66" s="27" t="s">
        <v>1014</v>
      </c>
      <c r="J66" s="27"/>
      <c r="K66" s="30"/>
      <c r="L66" s="30"/>
      <c r="M66" s="27"/>
    </row>
    <row r="67" spans="1:13" ht="30">
      <c r="A67" s="27"/>
      <c r="B67" s="32" t="s">
        <v>1015</v>
      </c>
      <c r="C67" s="32"/>
      <c r="D67" s="33" t="s">
        <v>1016</v>
      </c>
      <c r="E67" s="33" t="s">
        <v>1001</v>
      </c>
      <c r="F67" s="34">
        <v>43466</v>
      </c>
      <c r="G67" s="18">
        <v>12</v>
      </c>
      <c r="H67" s="27" t="s">
        <v>1013</v>
      </c>
      <c r="I67" s="27" t="s">
        <v>1014</v>
      </c>
      <c r="J67" s="27"/>
      <c r="K67" s="30"/>
      <c r="L67" s="30"/>
      <c r="M67" s="27"/>
    </row>
    <row r="68" spans="1:13" ht="30">
      <c r="A68" s="27"/>
      <c r="B68" s="32" t="s">
        <v>1017</v>
      </c>
      <c r="C68" s="32"/>
      <c r="D68" s="33" t="s">
        <v>1018</v>
      </c>
      <c r="E68" s="33" t="s">
        <v>1001</v>
      </c>
      <c r="F68" s="34">
        <v>43466</v>
      </c>
      <c r="G68" s="18">
        <v>12</v>
      </c>
      <c r="H68" s="27" t="s">
        <v>1013</v>
      </c>
      <c r="I68" s="27" t="s">
        <v>1014</v>
      </c>
      <c r="J68" s="27"/>
      <c r="K68" s="30"/>
      <c r="L68" s="30"/>
      <c r="M68" s="27"/>
    </row>
    <row r="69" spans="1:13" ht="30">
      <c r="A69" s="27"/>
      <c r="B69" s="32" t="s">
        <v>1019</v>
      </c>
      <c r="C69" s="32"/>
      <c r="D69" s="33" t="s">
        <v>1020</v>
      </c>
      <c r="E69" s="33" t="s">
        <v>847</v>
      </c>
      <c r="F69" s="34">
        <v>43466</v>
      </c>
      <c r="G69" s="18"/>
      <c r="H69" s="27" t="s">
        <v>1013</v>
      </c>
      <c r="I69" s="27" t="s">
        <v>1014</v>
      </c>
      <c r="J69" s="27"/>
      <c r="K69" s="30"/>
      <c r="L69" s="30"/>
      <c r="M69" s="27"/>
    </row>
    <row r="70" spans="1:13" ht="30">
      <c r="A70" s="27"/>
      <c r="B70" s="32" t="s">
        <v>1021</v>
      </c>
      <c r="C70" s="32"/>
      <c r="D70" s="33" t="s">
        <v>1022</v>
      </c>
      <c r="E70" s="33" t="s">
        <v>847</v>
      </c>
      <c r="F70" s="34">
        <v>43466</v>
      </c>
      <c r="G70" s="18">
        <v>60</v>
      </c>
      <c r="H70" s="27" t="s">
        <v>1013</v>
      </c>
      <c r="I70" s="27" t="s">
        <v>1014</v>
      </c>
      <c r="J70" s="27"/>
      <c r="K70" s="30"/>
      <c r="L70" s="30"/>
      <c r="M70" s="27"/>
    </row>
    <row r="71" spans="1:13" ht="30">
      <c r="A71" s="27"/>
      <c r="B71" s="32" t="s">
        <v>1023</v>
      </c>
      <c r="C71" s="32"/>
      <c r="D71" s="33" t="s">
        <v>30</v>
      </c>
      <c r="E71" s="33" t="s">
        <v>1001</v>
      </c>
      <c r="F71" s="34">
        <v>43579</v>
      </c>
      <c r="G71" s="18">
        <v>0</v>
      </c>
      <c r="H71" s="27" t="s">
        <v>1013</v>
      </c>
      <c r="I71" s="27" t="s">
        <v>1014</v>
      </c>
      <c r="J71" s="27"/>
      <c r="K71" s="30"/>
      <c r="L71" s="30"/>
      <c r="M71" s="27"/>
    </row>
    <row r="72" spans="1:13" ht="30">
      <c r="A72" s="27"/>
      <c r="B72" s="32" t="s">
        <v>1024</v>
      </c>
      <c r="C72" s="32"/>
      <c r="D72" s="33" t="s">
        <v>1025</v>
      </c>
      <c r="E72" s="33" t="s">
        <v>1001</v>
      </c>
      <c r="F72" s="61" t="s">
        <v>1026</v>
      </c>
      <c r="G72" s="18">
        <v>12</v>
      </c>
      <c r="H72" s="27" t="s">
        <v>1013</v>
      </c>
      <c r="I72" s="27" t="s">
        <v>1014</v>
      </c>
      <c r="J72" s="27"/>
      <c r="K72" s="30"/>
      <c r="L72" s="30"/>
      <c r="M72" s="27"/>
    </row>
    <row r="73" spans="1:13" ht="30">
      <c r="A73" s="27"/>
      <c r="B73" s="32" t="s">
        <v>1027</v>
      </c>
      <c r="C73" s="32"/>
      <c r="D73" s="33" t="s">
        <v>1028</v>
      </c>
      <c r="E73" s="33" t="s">
        <v>1001</v>
      </c>
      <c r="F73" s="34">
        <v>43624</v>
      </c>
      <c r="G73" s="18">
        <v>12</v>
      </c>
      <c r="H73" s="27" t="s">
        <v>1013</v>
      </c>
      <c r="I73" s="27" t="s">
        <v>1014</v>
      </c>
      <c r="J73" s="27"/>
      <c r="K73" s="30"/>
      <c r="L73" s="30"/>
      <c r="M73" s="27"/>
    </row>
    <row r="74" spans="1:13" ht="30">
      <c r="A74" s="27"/>
      <c r="B74" s="32" t="s">
        <v>1029</v>
      </c>
      <c r="C74" s="32"/>
      <c r="D74" s="33" t="s">
        <v>1030</v>
      </c>
      <c r="E74" s="33" t="s">
        <v>1001</v>
      </c>
      <c r="F74" s="34">
        <v>43624</v>
      </c>
      <c r="G74" s="18">
        <v>0</v>
      </c>
      <c r="H74" s="27" t="s">
        <v>1013</v>
      </c>
      <c r="I74" s="27" t="s">
        <v>1014</v>
      </c>
      <c r="J74" s="27"/>
      <c r="K74" s="30"/>
      <c r="L74" s="30"/>
      <c r="M74" s="27"/>
    </row>
    <row r="75" spans="1:13" ht="30">
      <c r="A75" s="27"/>
      <c r="B75" s="32" t="s">
        <v>1031</v>
      </c>
      <c r="C75" s="32"/>
      <c r="D75" s="33" t="s">
        <v>1032</v>
      </c>
      <c r="E75" s="33" t="s">
        <v>1001</v>
      </c>
      <c r="F75" s="34">
        <v>43831</v>
      </c>
      <c r="G75" s="18">
        <v>12</v>
      </c>
      <c r="H75" s="27" t="s">
        <v>1013</v>
      </c>
      <c r="I75" s="27" t="s">
        <v>1014</v>
      </c>
      <c r="J75" s="27"/>
      <c r="K75" s="30"/>
      <c r="L75" s="30"/>
      <c r="M75" s="27"/>
    </row>
    <row r="76" spans="1:13" ht="30">
      <c r="A76" s="27"/>
      <c r="B76" s="32" t="s">
        <v>1033</v>
      </c>
      <c r="C76" s="32"/>
      <c r="D76" s="33" t="s">
        <v>1034</v>
      </c>
      <c r="E76" s="33" t="s">
        <v>1001</v>
      </c>
      <c r="F76" s="34">
        <v>44467</v>
      </c>
      <c r="G76" s="18">
        <v>12</v>
      </c>
      <c r="H76" s="27" t="s">
        <v>1013</v>
      </c>
      <c r="I76" s="27" t="s">
        <v>1014</v>
      </c>
      <c r="J76" s="27"/>
      <c r="K76" s="30"/>
      <c r="L76" s="30"/>
      <c r="M76" s="27"/>
    </row>
    <row r="77" spans="1:13" ht="30">
      <c r="A77" s="27"/>
      <c r="B77" s="32" t="s">
        <v>1035</v>
      </c>
      <c r="C77" s="32"/>
      <c r="D77" s="33" t="s">
        <v>1036</v>
      </c>
      <c r="E77" s="33" t="s">
        <v>1001</v>
      </c>
      <c r="F77" s="34">
        <v>44562</v>
      </c>
      <c r="G77" s="18">
        <v>0</v>
      </c>
      <c r="H77" s="27" t="s">
        <v>1013</v>
      </c>
      <c r="I77" s="27" t="s">
        <v>1014</v>
      </c>
      <c r="J77" s="27"/>
      <c r="K77" s="30"/>
      <c r="L77" s="30"/>
      <c r="M77" s="27"/>
    </row>
    <row r="78" spans="1:13" ht="30">
      <c r="A78" s="62"/>
      <c r="B78" s="63" t="s">
        <v>1037</v>
      </c>
      <c r="C78" s="63"/>
      <c r="D78" s="64" t="s">
        <v>1038</v>
      </c>
      <c r="E78" s="64" t="s">
        <v>1001</v>
      </c>
      <c r="F78" s="65">
        <v>44615</v>
      </c>
      <c r="G78" s="66">
        <v>12</v>
      </c>
      <c r="H78" s="62" t="s">
        <v>1013</v>
      </c>
      <c r="I78" s="62" t="s">
        <v>1014</v>
      </c>
      <c r="J78" s="62"/>
      <c r="K78" s="67"/>
      <c r="L78" s="67"/>
      <c r="M78" s="62"/>
    </row>
    <row r="79" spans="1:13" ht="221.25" customHeight="1">
      <c r="D79" s="20"/>
      <c r="F79" s="20"/>
      <c r="G79" s="20"/>
      <c r="K79" s="20"/>
      <c r="L79" s="20"/>
    </row>
  </sheetData>
  <autoFilter ref="A1:M1" xr:uid="{00000000-0001-0000-0000-000000000000}"/>
  <dataValidations count="4">
    <dataValidation type="list" allowBlank="1" showInputMessage="1" showErrorMessage="1" sqref="I23:I27 I44:I78" xr:uid="{384E3115-70F5-4427-BAD1-EC9347A0B793}">
      <formula1>"Creative, Event, Thiết kế, Marketing, Kế toán, HCNS, Ban giám đốc"</formula1>
    </dataValidation>
    <dataValidation type="list" allowBlank="1" showInputMessage="1" showErrorMessage="1" sqref="I3:I22 I28:I43" xr:uid="{B96CC222-CF77-4770-B525-C880C568B8A5}">
      <formula1>"Video, Creative, Event, Thiết kế, Marketing, Kế toán, HCNS, Ban giám đốc"</formula1>
    </dataValidation>
    <dataValidation type="list" allowBlank="1" showInputMessage="1" showErrorMessage="1" sqref="E3:E52 E65" xr:uid="{A9712F0C-2C58-4D16-AAAB-E1466B683D17}">
      <formula1>"Máy móc thiết bị, Thiết bị nội thất, Linh kiện, Xe cộ vận chuyển, Máy móc sản xuất, Văn phòng phẩm, Khác"</formula1>
    </dataValidation>
    <dataValidation type="list" allowBlank="1" showInputMessage="1" showErrorMessage="1" sqref="J80:J107 J3:J78" xr:uid="{8F78D4FA-E9DD-46AE-865D-37573BA01746}">
      <formula1>"Hoạt động tốt, Hỏng 1 phần nhưng dùng được, Chưa update, chậm, Hỏng hoàn toàn cần thay mới 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89A9-CE54-4177-BF6F-043450475047}">
  <dimension ref="A1:H9"/>
  <sheetViews>
    <sheetView workbookViewId="0">
      <selection activeCell="C19" sqref="C19"/>
    </sheetView>
  </sheetViews>
  <sheetFormatPr defaultRowHeight="15"/>
  <cols>
    <col min="1" max="1" width="17.5703125" customWidth="1"/>
    <col min="2" max="7" width="12.28515625" customWidth="1"/>
    <col min="8" max="8" width="60.7109375" customWidth="1"/>
  </cols>
  <sheetData>
    <row r="1" spans="1:8" s="115" customFormat="1" ht="32.25" customHeight="1">
      <c r="A1" s="116" t="s">
        <v>1039</v>
      </c>
      <c r="B1" s="823" t="s">
        <v>1040</v>
      </c>
      <c r="C1" s="823"/>
      <c r="D1" s="823" t="s">
        <v>77</v>
      </c>
      <c r="E1" s="823"/>
      <c r="F1" s="823" t="s">
        <v>1041</v>
      </c>
      <c r="G1" s="823"/>
      <c r="H1" s="116" t="s">
        <v>843</v>
      </c>
    </row>
    <row r="2" spans="1:8" s="117" customFormat="1" ht="25.5" customHeight="1">
      <c r="A2" s="118"/>
      <c r="B2" s="118" t="s">
        <v>1042</v>
      </c>
      <c r="C2" s="118" t="s">
        <v>1043</v>
      </c>
      <c r="D2" s="118" t="s">
        <v>1042</v>
      </c>
      <c r="E2" s="118" t="s">
        <v>1043</v>
      </c>
      <c r="F2" s="118" t="s">
        <v>1042</v>
      </c>
      <c r="G2" s="118" t="s">
        <v>1043</v>
      </c>
      <c r="H2" s="118"/>
    </row>
    <row r="3" spans="1:8" s="115" customFormat="1" ht="21.75" customHeight="1">
      <c r="A3" s="119" t="s">
        <v>629</v>
      </c>
      <c r="B3" s="120">
        <v>6</v>
      </c>
      <c r="C3" s="120">
        <v>0</v>
      </c>
      <c r="D3" s="120">
        <v>5</v>
      </c>
      <c r="E3" s="120">
        <v>0</v>
      </c>
      <c r="F3" s="120">
        <v>7</v>
      </c>
      <c r="G3" s="120">
        <v>0</v>
      </c>
      <c r="H3" s="119" t="s">
        <v>1044</v>
      </c>
    </row>
    <row r="4" spans="1:8" s="115" customFormat="1" ht="21.75" customHeight="1">
      <c r="A4" s="119" t="s">
        <v>635</v>
      </c>
      <c r="B4" s="120">
        <v>2</v>
      </c>
      <c r="C4" s="120">
        <v>6</v>
      </c>
      <c r="D4" s="120">
        <v>2</v>
      </c>
      <c r="E4" s="120">
        <v>3</v>
      </c>
      <c r="F4" s="120">
        <v>2</v>
      </c>
      <c r="G4" s="120">
        <v>3</v>
      </c>
      <c r="H4" s="119" t="s">
        <v>1045</v>
      </c>
    </row>
    <row r="5" spans="1:8" s="115" customFormat="1" ht="21.75" customHeight="1">
      <c r="A5" s="119" t="s">
        <v>633</v>
      </c>
      <c r="B5" s="120">
        <v>3</v>
      </c>
      <c r="C5" s="120">
        <v>4</v>
      </c>
      <c r="D5" s="120">
        <v>4</v>
      </c>
      <c r="E5" s="120">
        <v>1</v>
      </c>
      <c r="F5" s="120">
        <v>4</v>
      </c>
      <c r="G5" s="120">
        <v>1</v>
      </c>
      <c r="H5" s="119" t="s">
        <v>1046</v>
      </c>
    </row>
    <row r="6" spans="1:8" s="115" customFormat="1" ht="21.75" customHeight="1">
      <c r="A6" s="119" t="s">
        <v>717</v>
      </c>
      <c r="B6" s="120">
        <v>6</v>
      </c>
      <c r="C6" s="120">
        <v>2</v>
      </c>
      <c r="D6" s="120">
        <v>6</v>
      </c>
      <c r="E6" s="120">
        <v>1</v>
      </c>
      <c r="F6" s="120">
        <v>6</v>
      </c>
      <c r="G6" s="120">
        <v>1</v>
      </c>
      <c r="H6" s="119" t="s">
        <v>1047</v>
      </c>
    </row>
    <row r="7" spans="1:8" s="115" customFormat="1" ht="21.75" customHeight="1">
      <c r="A7" s="119" t="s">
        <v>722</v>
      </c>
      <c r="B7" s="120">
        <v>9</v>
      </c>
      <c r="C7" s="120">
        <v>0</v>
      </c>
      <c r="D7" s="120">
        <v>9</v>
      </c>
      <c r="E7" s="120">
        <v>0</v>
      </c>
      <c r="F7" s="120">
        <v>10</v>
      </c>
      <c r="G7" s="120">
        <v>0</v>
      </c>
      <c r="H7" s="119" t="s">
        <v>1048</v>
      </c>
    </row>
    <row r="8" spans="1:8" s="115" customFormat="1" ht="21.75" customHeight="1">
      <c r="A8" s="119" t="s">
        <v>637</v>
      </c>
      <c r="B8" s="120">
        <v>5</v>
      </c>
      <c r="C8" s="120">
        <v>0</v>
      </c>
      <c r="D8" s="120">
        <v>5</v>
      </c>
      <c r="E8" s="120">
        <v>0</v>
      </c>
      <c r="F8" s="120">
        <v>5</v>
      </c>
      <c r="G8" s="120">
        <v>0</v>
      </c>
      <c r="H8" s="119"/>
    </row>
    <row r="9" spans="1:8" s="115" customFormat="1" ht="21.75" customHeight="1">
      <c r="A9" s="119" t="s">
        <v>1049</v>
      </c>
      <c r="B9" s="120">
        <v>3</v>
      </c>
      <c r="C9" s="120">
        <v>0</v>
      </c>
      <c r="D9" s="120">
        <v>2</v>
      </c>
      <c r="E9" s="120">
        <v>0</v>
      </c>
      <c r="F9" s="120">
        <v>3</v>
      </c>
      <c r="G9" s="120">
        <v>0</v>
      </c>
      <c r="H9" s="119" t="s">
        <v>1050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B8E7-CB96-4632-BDD5-E94828629E06}">
  <sheetPr>
    <pageSetUpPr fitToPage="1"/>
  </sheetPr>
  <dimension ref="A1:AQ127"/>
  <sheetViews>
    <sheetView showGridLines="0" workbookViewId="0">
      <pane xSplit="4" ySplit="4" topLeftCell="E5" activePane="bottomRight" state="frozen"/>
      <selection pane="bottomRight" activeCell="N6" sqref="N6"/>
      <selection pane="bottomLeft"/>
      <selection pane="topRight"/>
    </sheetView>
  </sheetViews>
  <sheetFormatPr defaultColWidth="9" defaultRowHeight="14.25" customHeight="1"/>
  <cols>
    <col min="1" max="1" width="5.140625" style="340" customWidth="1"/>
    <col min="2" max="2" width="10.140625" style="340" customWidth="1"/>
    <col min="3" max="3" width="28.42578125" style="115" customWidth="1"/>
    <col min="4" max="4" width="13.7109375" style="115" customWidth="1"/>
    <col min="5" max="5" width="25.85546875" style="115" customWidth="1"/>
    <col min="6" max="6" width="37.42578125" style="115" hidden="1" customWidth="1"/>
    <col min="7" max="7" width="39" style="115" customWidth="1"/>
    <col min="8" max="8" width="16.85546875" style="403" customWidth="1"/>
    <col min="9" max="10" width="16.85546875" style="377" customWidth="1"/>
    <col min="11" max="11" width="23.42578125" style="115" customWidth="1"/>
    <col min="12" max="12" width="20.42578125" style="115" customWidth="1"/>
    <col min="13" max="13" width="20.140625" style="115" customWidth="1"/>
    <col min="14" max="14" width="20.140625" style="544" customWidth="1"/>
    <col min="15" max="21" width="21.85546875" style="115" hidden="1" customWidth="1"/>
    <col min="22" max="22" width="27.7109375" style="592" customWidth="1"/>
    <col min="23" max="23" width="25.85546875" style="592" customWidth="1"/>
    <col min="24" max="25" width="17.85546875" style="115" customWidth="1"/>
    <col min="26" max="26" width="31.140625" style="115" customWidth="1"/>
    <col min="27" max="27" width="34.42578125" style="115" customWidth="1"/>
    <col min="28" max="28" width="23.85546875" style="115" customWidth="1"/>
    <col min="29" max="29" width="38.5703125" style="115" customWidth="1"/>
    <col min="30" max="30" width="14" style="115" customWidth="1"/>
    <col min="31" max="31" width="9.42578125" style="115" customWidth="1"/>
    <col min="32" max="32" width="29.5703125" style="115" customWidth="1"/>
    <col min="33" max="36" width="13.5703125" style="115" customWidth="1"/>
    <col min="37" max="37" width="11.28515625" style="115" customWidth="1"/>
    <col min="38" max="38" width="23.85546875" style="115" customWidth="1"/>
    <col min="39" max="39" width="24" style="115" customWidth="1"/>
    <col min="40" max="40" width="13.5703125" style="115" customWidth="1"/>
    <col min="41" max="41" width="9" style="115"/>
    <col min="42" max="42" width="39.7109375" style="115" customWidth="1"/>
    <col min="43" max="16384" width="9" style="115"/>
  </cols>
  <sheetData>
    <row r="1" spans="1:42" ht="79.5" customHeight="1">
      <c r="A1" s="122"/>
      <c r="B1" s="123"/>
      <c r="C1" s="341"/>
      <c r="D1" s="842" t="s">
        <v>241</v>
      </c>
      <c r="E1" s="843"/>
      <c r="F1" s="843"/>
      <c r="G1" s="843"/>
      <c r="H1" s="418"/>
      <c r="I1" s="406"/>
      <c r="J1" s="406"/>
      <c r="K1" s="342"/>
      <c r="L1" s="342"/>
      <c r="M1" s="342"/>
      <c r="N1" s="543"/>
      <c r="O1" s="342"/>
      <c r="P1" s="342"/>
      <c r="Q1" s="342"/>
      <c r="R1" s="342"/>
      <c r="S1" s="342"/>
      <c r="T1" s="342"/>
      <c r="U1" s="342"/>
      <c r="V1" s="590"/>
      <c r="W1" s="590"/>
      <c r="X1" s="342"/>
      <c r="Y1" s="342"/>
      <c r="Z1" s="342"/>
      <c r="AA1" s="342"/>
      <c r="AB1" s="342"/>
      <c r="AC1" s="342"/>
      <c r="AD1" s="342"/>
      <c r="AE1" s="343"/>
      <c r="AF1" s="343"/>
      <c r="AG1" s="343"/>
      <c r="AH1" s="343"/>
      <c r="AI1" s="343"/>
      <c r="AJ1" s="343"/>
      <c r="AK1" s="343"/>
      <c r="AL1" s="343"/>
      <c r="AM1" s="343"/>
      <c r="AN1" s="338"/>
    </row>
    <row r="2" spans="1:42" ht="30" customHeight="1">
      <c r="A2" s="344" t="s">
        <v>1051</v>
      </c>
      <c r="B2" s="345"/>
      <c r="C2" s="346"/>
      <c r="D2" s="346"/>
      <c r="E2" s="347"/>
      <c r="F2" s="347"/>
      <c r="G2" s="347"/>
      <c r="H2" s="419"/>
      <c r="I2" s="407"/>
      <c r="J2" s="407"/>
      <c r="K2" s="346"/>
    </row>
    <row r="3" spans="1:42" s="339" customFormat="1" ht="35.25" customHeight="1">
      <c r="A3" s="612" t="s">
        <v>85</v>
      </c>
      <c r="B3" s="612" t="s">
        <v>1052</v>
      </c>
      <c r="C3" s="612" t="s">
        <v>1053</v>
      </c>
      <c r="D3" s="612" t="s">
        <v>1054</v>
      </c>
      <c r="E3" s="612" t="s">
        <v>1055</v>
      </c>
      <c r="F3" s="612" t="s">
        <v>1056</v>
      </c>
      <c r="G3" s="612" t="s">
        <v>1057</v>
      </c>
      <c r="H3" s="613" t="s">
        <v>1058</v>
      </c>
      <c r="I3" s="613" t="s">
        <v>1059</v>
      </c>
      <c r="J3" s="613" t="s">
        <v>1060</v>
      </c>
      <c r="K3" s="612" t="s">
        <v>1061</v>
      </c>
      <c r="L3" s="614" t="s">
        <v>1062</v>
      </c>
      <c r="M3" s="614" t="s">
        <v>1063</v>
      </c>
      <c r="N3" s="615" t="s">
        <v>1064</v>
      </c>
      <c r="O3" s="614" t="s">
        <v>1065</v>
      </c>
      <c r="P3" s="614" t="s">
        <v>1066</v>
      </c>
      <c r="Q3" s="614" t="s">
        <v>1067</v>
      </c>
      <c r="R3" s="614" t="s">
        <v>1068</v>
      </c>
      <c r="S3" s="614" t="s">
        <v>1069</v>
      </c>
      <c r="T3" s="614" t="s">
        <v>1070</v>
      </c>
      <c r="U3" s="614" t="s">
        <v>1071</v>
      </c>
      <c r="V3" s="616" t="s">
        <v>1072</v>
      </c>
      <c r="W3" s="616" t="s">
        <v>1073</v>
      </c>
      <c r="X3" s="617" t="s">
        <v>1074</v>
      </c>
      <c r="Y3" s="617" t="s">
        <v>1075</v>
      </c>
      <c r="Z3" s="617" t="s">
        <v>1076</v>
      </c>
      <c r="AA3" s="609" t="s">
        <v>1077</v>
      </c>
      <c r="AB3" s="609" t="s">
        <v>1078</v>
      </c>
      <c r="AC3" s="609" t="s">
        <v>104</v>
      </c>
      <c r="AD3" s="618" t="s">
        <v>1079</v>
      </c>
      <c r="AF3" s="846" t="s">
        <v>1080</v>
      </c>
      <c r="AG3" s="844" t="s">
        <v>1081</v>
      </c>
      <c r="AH3" s="844"/>
      <c r="AI3" s="844"/>
      <c r="AJ3" s="844"/>
      <c r="AK3" s="848" t="s">
        <v>1082</v>
      </c>
      <c r="AL3" s="850" t="s">
        <v>104</v>
      </c>
      <c r="AM3" s="845" t="s">
        <v>1081</v>
      </c>
      <c r="AN3" s="845"/>
      <c r="AO3" s="825" t="s">
        <v>1082</v>
      </c>
      <c r="AP3" s="827" t="s">
        <v>104</v>
      </c>
    </row>
    <row r="4" spans="1:42" s="339" customFormat="1" ht="30.75" customHeight="1">
      <c r="A4" s="619"/>
      <c r="B4" s="620"/>
      <c r="C4" s="620"/>
      <c r="D4" s="620"/>
      <c r="E4" s="620"/>
      <c r="F4" s="620"/>
      <c r="G4" s="620"/>
      <c r="H4" s="621"/>
      <c r="I4" s="621"/>
      <c r="J4" s="621"/>
      <c r="K4" s="620"/>
      <c r="L4" s="530">
        <f>COUNTA(L6:L80)</f>
        <v>63</v>
      </c>
      <c r="M4" s="530"/>
      <c r="N4" s="545"/>
      <c r="O4" s="530"/>
      <c r="P4" s="530"/>
      <c r="Q4" s="530"/>
      <c r="R4" s="530"/>
      <c r="S4" s="530"/>
      <c r="T4" s="530"/>
      <c r="U4" s="530"/>
      <c r="V4" s="622"/>
      <c r="W4" s="622"/>
      <c r="X4" s="623"/>
      <c r="Y4" s="623"/>
      <c r="Z4" s="623"/>
      <c r="AA4" s="623"/>
      <c r="AB4" s="623"/>
      <c r="AC4" s="624"/>
      <c r="AD4" s="610"/>
      <c r="AF4" s="847"/>
      <c r="AG4" s="476" t="s">
        <v>1083</v>
      </c>
      <c r="AH4" s="476" t="s">
        <v>1084</v>
      </c>
      <c r="AI4" s="476" t="s">
        <v>1085</v>
      </c>
      <c r="AJ4" s="476" t="s">
        <v>1086</v>
      </c>
      <c r="AK4" s="849"/>
      <c r="AL4" s="851"/>
      <c r="AM4" s="484" t="s">
        <v>1087</v>
      </c>
      <c r="AN4" s="477" t="s">
        <v>1088</v>
      </c>
      <c r="AO4" s="826"/>
      <c r="AP4" s="828"/>
    </row>
    <row r="5" spans="1:42" s="339" customFormat="1" ht="21.75" customHeight="1">
      <c r="A5" s="353" t="s">
        <v>1089</v>
      </c>
      <c r="B5" s="354"/>
      <c r="C5" s="354"/>
      <c r="D5" s="354"/>
      <c r="E5" s="354"/>
      <c r="F5" s="354"/>
      <c r="G5" s="354"/>
      <c r="H5" s="408"/>
      <c r="I5" s="408"/>
      <c r="J5" s="408"/>
      <c r="K5" s="354"/>
      <c r="L5" s="354"/>
      <c r="M5" s="354"/>
      <c r="N5" s="546"/>
      <c r="O5" s="354"/>
      <c r="P5" s="354"/>
      <c r="Q5" s="354"/>
      <c r="R5" s="354"/>
      <c r="S5" s="354"/>
      <c r="T5" s="354"/>
      <c r="U5" s="354"/>
      <c r="V5" s="593"/>
      <c r="W5" s="593"/>
      <c r="X5" s="354"/>
      <c r="Y5" s="354"/>
      <c r="Z5" s="354"/>
      <c r="AA5" s="354"/>
      <c r="AB5" s="354"/>
      <c r="AC5" s="354"/>
      <c r="AD5" s="611"/>
      <c r="AF5" s="481" t="s">
        <v>1090</v>
      </c>
      <c r="AG5" s="478">
        <f>AJ18</f>
        <v>37</v>
      </c>
      <c r="AH5" s="478"/>
      <c r="AI5" s="478"/>
      <c r="AJ5" s="478">
        <f>AJ20</f>
        <v>1</v>
      </c>
      <c r="AK5" s="478">
        <f>SUM(AG5:AJ5)</f>
        <v>38</v>
      </c>
      <c r="AL5" s="479"/>
      <c r="AM5" s="485">
        <v>19</v>
      </c>
      <c r="AN5" s="485">
        <v>9</v>
      </c>
      <c r="AO5" s="485">
        <f>SUM(AM5:AN5)</f>
        <v>28</v>
      </c>
      <c r="AP5" s="487" t="s">
        <v>1091</v>
      </c>
    </row>
    <row r="6" spans="1:42" ht="16.5">
      <c r="A6" s="438">
        <f>IF(B6="","",SUBTOTAL(3,$B$6:B6))</f>
        <v>1</v>
      </c>
      <c r="B6" s="355">
        <v>10001</v>
      </c>
      <c r="C6" s="356" t="str">
        <f>INDEX('6. data thông tin nhân sự'!C:C, MATCH('5. Theo dõi mail'!B6, '6. data thông tin nhân sự'!B:B,0))</f>
        <v>Lê Hải Yến</v>
      </c>
      <c r="D6" s="356" t="str">
        <f>INDEX('6. data thông tin nhân sự'!D:D, MATCH('5. Theo dõi mail'!B6, '6. data thông tin nhân sự'!B:B,0))</f>
        <v>Chính thức</v>
      </c>
      <c r="E6" s="356" t="str">
        <f>INDEX('6. data thông tin nhân sự'!G:G, MATCH('5. Theo dõi mail'!B6, '6. data thông tin nhân sự'!B:B,0))</f>
        <v>Ban giám đốc - BOD</v>
      </c>
      <c r="F6" s="356" t="str">
        <f>INDEX('6. data thông tin nhân sự'!H:H, MATCH('5. Theo dõi mail'!B6, '6. data thông tin nhân sự'!B:B,0))</f>
        <v>General Director</v>
      </c>
      <c r="G6" s="356" t="str">
        <f>INDEX('6. data thông tin nhân sự'!L:L, MATCH('5. Theo dõi mail'!B6, '6. data thông tin nhân sự'!B:B,0))</f>
        <v>haiyen.le@newdaymedia.com.vn</v>
      </c>
      <c r="H6" s="374" t="str">
        <f>INDEX('6. data thông tin nhân sự'!N:N, MATCH('5. Theo dõi mail'!B6, '6. data thông tin nhân sự'!B:B,0))</f>
        <v>20/01/2010</v>
      </c>
      <c r="I6" s="379"/>
      <c r="J6" s="379"/>
      <c r="K6" s="378" t="s">
        <v>1092</v>
      </c>
      <c r="L6" s="356" t="s">
        <v>1093</v>
      </c>
      <c r="M6" s="521"/>
      <c r="N6" s="554" t="s">
        <v>1094</v>
      </c>
      <c r="O6" s="521" t="s">
        <v>1095</v>
      </c>
      <c r="P6" s="521" t="s">
        <v>1095</v>
      </c>
      <c r="Q6" s="521" t="s">
        <v>1095</v>
      </c>
      <c r="R6" s="521" t="s">
        <v>1095</v>
      </c>
      <c r="S6" s="521" t="s">
        <v>1095</v>
      </c>
      <c r="T6" s="521" t="s">
        <v>1095</v>
      </c>
      <c r="U6" s="521" t="s">
        <v>1095</v>
      </c>
      <c r="V6" s="594" t="s">
        <v>1096</v>
      </c>
      <c r="W6" s="595" t="s">
        <v>1084</v>
      </c>
      <c r="X6" s="356"/>
      <c r="Y6" s="379"/>
      <c r="Z6" s="356"/>
      <c r="AA6" s="356"/>
      <c r="AB6" s="356"/>
      <c r="AC6" s="378"/>
      <c r="AD6" s="605"/>
      <c r="AF6" s="481" t="s">
        <v>1097</v>
      </c>
      <c r="AG6" s="480"/>
      <c r="AH6" s="480">
        <f>AM22</f>
        <v>1</v>
      </c>
      <c r="AI6" s="480"/>
      <c r="AJ6" s="480"/>
      <c r="AK6" s="478">
        <f t="shared" ref="AK6:AK10" si="0">SUM(AG6:AJ6)</f>
        <v>1</v>
      </c>
      <c r="AL6" s="479"/>
      <c r="AM6" s="483">
        <v>1</v>
      </c>
      <c r="AN6" s="483"/>
      <c r="AO6" s="485">
        <f t="shared" ref="AO6:AO10" si="1">SUM(AM6:AN6)</f>
        <v>1</v>
      </c>
      <c r="AP6" s="479"/>
    </row>
    <row r="7" spans="1:42" ht="16.5">
      <c r="A7" s="438">
        <f>IF(B7="","",SUBTOTAL(3,$B$6:B7))</f>
        <v>2</v>
      </c>
      <c r="B7" s="355">
        <v>10002</v>
      </c>
      <c r="C7" s="356" t="str">
        <f>INDEX('6. data thông tin nhân sự'!C:C, MATCH('5. Theo dõi mail'!B7, '6. data thông tin nhân sự'!B:B,0))</f>
        <v>Larkin Thu Hà</v>
      </c>
      <c r="D7" s="356" t="str">
        <f>INDEX('6. data thông tin nhân sự'!D:D, MATCH('5. Theo dõi mail'!B7, '6. data thông tin nhân sự'!B:B,0))</f>
        <v>Chính thức</v>
      </c>
      <c r="E7" s="356" t="str">
        <f>INDEX('6. data thông tin nhân sự'!G:G, MATCH('5. Theo dõi mail'!B7, '6. data thông tin nhân sự'!B:B,0))</f>
        <v>Ban giám đốc - BOD</v>
      </c>
      <c r="F7" s="356" t="str">
        <f>INDEX('6. data thông tin nhân sự'!H:H, MATCH('5. Theo dõi mail'!B7, '6. data thông tin nhân sự'!B:B,0))</f>
        <v>Co-founder/ Executive Board Member</v>
      </c>
      <c r="G7" s="356" t="str">
        <f>INDEX('6. data thông tin nhân sự'!L:L, MATCH('5. Theo dõi mail'!B7, '6. data thông tin nhân sự'!B:B,0))</f>
        <v>thuha@newdaymedia.com.vn</v>
      </c>
      <c r="H7" s="374" t="str">
        <f>INDEX('6. data thông tin nhân sự'!N:N, MATCH('5. Theo dõi mail'!B7, '6. data thông tin nhân sự'!B:B,0))</f>
        <v>20/01/2010</v>
      </c>
      <c r="I7" s="379"/>
      <c r="J7" s="379"/>
      <c r="K7" s="378" t="s">
        <v>1092</v>
      </c>
      <c r="L7" s="356" t="s">
        <v>1098</v>
      </c>
      <c r="M7" s="356"/>
      <c r="N7" s="548"/>
      <c r="P7" s="356"/>
      <c r="Q7" s="356"/>
      <c r="R7" s="356"/>
      <c r="S7" s="356"/>
      <c r="T7" s="356"/>
      <c r="U7" s="356"/>
      <c r="V7" s="596"/>
      <c r="W7" s="596"/>
      <c r="X7" s="356"/>
      <c r="Y7" s="356"/>
      <c r="Z7" s="356"/>
      <c r="AA7" s="356"/>
      <c r="AB7" s="356"/>
      <c r="AC7" s="378"/>
      <c r="AD7" s="605"/>
      <c r="AF7" s="481" t="s">
        <v>1099</v>
      </c>
      <c r="AG7" s="480"/>
      <c r="AH7" s="480">
        <f>AM18</f>
        <v>3</v>
      </c>
      <c r="AI7" s="480"/>
      <c r="AJ7" s="480"/>
      <c r="AK7" s="478">
        <f t="shared" si="0"/>
        <v>3</v>
      </c>
      <c r="AL7" s="479"/>
      <c r="AM7" s="483">
        <v>2</v>
      </c>
      <c r="AN7" s="483">
        <v>1</v>
      </c>
      <c r="AO7" s="485">
        <f t="shared" si="1"/>
        <v>3</v>
      </c>
      <c r="AP7" s="479"/>
    </row>
    <row r="8" spans="1:42" ht="16.5">
      <c r="A8" s="438">
        <f>IF(B8="","",SUBTOTAL(3,$B$6:B8))</f>
        <v>3</v>
      </c>
      <c r="B8" s="355">
        <v>10003</v>
      </c>
      <c r="C8" s="356" t="str">
        <f>INDEX('6. data thông tin nhân sự'!C:C, MATCH('5. Theo dõi mail'!B8, '6. data thông tin nhân sự'!B:B,0))</f>
        <v>Phạm Khánh Băng</v>
      </c>
      <c r="D8" s="356" t="str">
        <f>INDEX('6. data thông tin nhân sự'!D:D, MATCH('5. Theo dõi mail'!B8, '6. data thông tin nhân sự'!B:B,0))</f>
        <v>Chính thức</v>
      </c>
      <c r="E8" s="356" t="str">
        <f>INDEX('6. data thông tin nhân sự'!G:G, MATCH('5. Theo dõi mail'!B8, '6. data thông tin nhân sự'!B:B,0))</f>
        <v>Ban giám đốc - BOD</v>
      </c>
      <c r="F8" s="356" t="str">
        <f>INDEX('6. data thông tin nhân sự'!H:H, MATCH('5. Theo dõi mail'!B8, '6. data thông tin nhân sự'!B:B,0))</f>
        <v>Chairman</v>
      </c>
      <c r="G8" s="356" t="str">
        <f>INDEX('6. data thông tin nhân sự'!L:L, MATCH('5. Theo dõi mail'!B8, '6. data thông tin nhân sự'!B:B,0))</f>
        <v>khanhbang@newdaymedia.com.vn</v>
      </c>
      <c r="H8" s="374">
        <f>INDEX('6. data thông tin nhân sự'!N:N, MATCH('5. Theo dõi mail'!B8, '6. data thông tin nhân sự'!B:B,0))</f>
        <v>40198</v>
      </c>
      <c r="I8" s="379"/>
      <c r="J8" s="379"/>
      <c r="K8" s="378" t="s">
        <v>1092</v>
      </c>
      <c r="L8" s="356" t="s">
        <v>1098</v>
      </c>
      <c r="M8" s="356"/>
      <c r="N8" s="549"/>
      <c r="O8" s="356"/>
      <c r="P8" s="356"/>
      <c r="Q8" s="356"/>
      <c r="R8" s="356"/>
      <c r="S8" s="356"/>
      <c r="T8" s="356"/>
      <c r="U8" s="356"/>
      <c r="V8" s="596"/>
      <c r="W8" s="596"/>
      <c r="X8" s="356"/>
      <c r="Y8" s="356"/>
      <c r="Z8" s="356"/>
      <c r="AA8" s="356"/>
      <c r="AB8" s="356"/>
      <c r="AC8" s="378"/>
      <c r="AD8" s="605"/>
      <c r="AF8" s="482" t="s">
        <v>1096</v>
      </c>
      <c r="AG8" s="480"/>
      <c r="AH8" s="480">
        <f>AG122</f>
        <v>2</v>
      </c>
      <c r="AI8" s="480"/>
      <c r="AJ8" s="480"/>
      <c r="AK8" s="478">
        <f t="shared" si="0"/>
        <v>2</v>
      </c>
      <c r="AL8" s="479"/>
      <c r="AM8" s="483">
        <v>2</v>
      </c>
      <c r="AN8" s="483">
        <v>1</v>
      </c>
      <c r="AO8" s="485">
        <f t="shared" si="1"/>
        <v>3</v>
      </c>
      <c r="AP8" s="479"/>
    </row>
    <row r="9" spans="1:42" ht="15.75">
      <c r="A9" s="353" t="s">
        <v>1100</v>
      </c>
      <c r="B9" s="354"/>
      <c r="C9" s="354"/>
      <c r="D9" s="354"/>
      <c r="E9" s="354"/>
      <c r="F9" s="354"/>
      <c r="G9" s="354"/>
      <c r="H9" s="408"/>
      <c r="I9" s="408"/>
      <c r="J9" s="408"/>
      <c r="K9" s="354"/>
      <c r="L9" s="441"/>
      <c r="M9" s="441"/>
      <c r="N9" s="550"/>
      <c r="O9" s="441"/>
      <c r="P9" s="441"/>
      <c r="Q9" s="441"/>
      <c r="R9" s="441"/>
      <c r="S9" s="441"/>
      <c r="T9" s="441"/>
      <c r="U9" s="441"/>
      <c r="V9" s="597"/>
      <c r="W9" s="597"/>
      <c r="X9" s="441"/>
      <c r="Y9" s="441"/>
      <c r="Z9" s="441"/>
      <c r="AA9" s="441"/>
      <c r="AB9" s="441"/>
      <c r="AC9" s="602"/>
      <c r="AD9" s="604"/>
      <c r="AF9" s="481" t="s">
        <v>1101</v>
      </c>
      <c r="AG9" s="480"/>
      <c r="AH9" s="480"/>
      <c r="AI9" s="480">
        <f>AJ19</f>
        <v>10</v>
      </c>
      <c r="AJ9" s="480"/>
      <c r="AK9" s="478">
        <f t="shared" si="0"/>
        <v>10</v>
      </c>
      <c r="AL9" s="479"/>
      <c r="AM9" s="483">
        <v>7</v>
      </c>
      <c r="AN9" s="483">
        <v>1</v>
      </c>
      <c r="AO9" s="485">
        <f t="shared" si="1"/>
        <v>8</v>
      </c>
      <c r="AP9" s="479"/>
    </row>
    <row r="10" spans="1:42" ht="16.5">
      <c r="A10" s="438">
        <f>IF(B10="","",SUBTOTAL(3,$B$6:B10))</f>
        <v>4</v>
      </c>
      <c r="B10" s="355">
        <v>16001</v>
      </c>
      <c r="C10" s="356" t="str">
        <f>INDEX('6. data thông tin nhân sự'!C:C, MATCH('5. Theo dõi mail'!B10, '6. data thông tin nhân sự'!B:B,0))</f>
        <v>Nguyễn Thị Thu Lan</v>
      </c>
      <c r="D10" s="356" t="str">
        <f>INDEX('6. data thông tin nhân sự'!D:D, MATCH('5. Theo dõi mail'!B10, '6. data thông tin nhân sự'!B:B,0))</f>
        <v>Chính thức</v>
      </c>
      <c r="E10" s="356" t="str">
        <f>INDEX('6. data thông tin nhân sự'!G:G, MATCH('5. Theo dõi mail'!B10, '6. data thông tin nhân sự'!B:B,0))</f>
        <v>Kinh doanh - Account</v>
      </c>
      <c r="F10" s="356" t="str">
        <f>INDEX('6. data thông tin nhân sự'!H:H, MATCH('5. Theo dõi mail'!B10, '6. data thông tin nhân sự'!B:B,0))</f>
        <v>Deputy General Director / CORPORATE CLIENT DIRECTOR</v>
      </c>
      <c r="G10" s="356" t="str">
        <f>INDEX('6. data thông tin nhân sự'!L:L, MATCH('5. Theo dõi mail'!B10, '6. data thông tin nhân sự'!B:B,0))</f>
        <v>thulan@newdaymedia.com.vn</v>
      </c>
      <c r="H10" s="374" t="str">
        <f>INDEX('6. data thông tin nhân sự'!N:N, MATCH('5. Theo dõi mail'!B10, '6. data thông tin nhân sự'!B:B,0))</f>
        <v>15/08/2016</v>
      </c>
      <c r="I10" s="379"/>
      <c r="J10" s="379"/>
      <c r="K10" s="378" t="s">
        <v>1092</v>
      </c>
      <c r="L10" s="356" t="s">
        <v>1102</v>
      </c>
      <c r="M10" s="378" t="s">
        <v>1103</v>
      </c>
      <c r="N10" s="547"/>
      <c r="O10" s="521"/>
      <c r="P10" s="521"/>
      <c r="Q10" s="521"/>
      <c r="R10" s="521"/>
      <c r="S10" s="521"/>
      <c r="T10" s="521"/>
      <c r="U10" s="521"/>
      <c r="V10" s="594" t="s">
        <v>1096</v>
      </c>
      <c r="W10" s="595" t="s">
        <v>1084</v>
      </c>
      <c r="X10" s="448" t="s">
        <v>1104</v>
      </c>
      <c r="Y10" s="449">
        <v>46225</v>
      </c>
      <c r="Z10" s="356" t="s">
        <v>1105</v>
      </c>
      <c r="AA10" s="356" t="s">
        <v>1105</v>
      </c>
      <c r="AB10" s="356"/>
      <c r="AC10" s="378" t="s">
        <v>1106</v>
      </c>
      <c r="AD10" s="605"/>
      <c r="AF10" s="481" t="s">
        <v>1107</v>
      </c>
      <c r="AG10" s="480"/>
      <c r="AH10" s="480">
        <f>AM21</f>
        <v>4</v>
      </c>
      <c r="AI10" s="480"/>
      <c r="AJ10" s="480"/>
      <c r="AK10" s="478">
        <f t="shared" si="0"/>
        <v>4</v>
      </c>
      <c r="AL10" s="479"/>
      <c r="AM10" s="483">
        <v>4</v>
      </c>
      <c r="AN10" s="483"/>
      <c r="AO10" s="485">
        <f t="shared" si="1"/>
        <v>4</v>
      </c>
      <c r="AP10" s="479"/>
    </row>
    <row r="11" spans="1:42" ht="16.5">
      <c r="A11" s="438">
        <f>IF(B11="","",SUBTOTAL(3,$B$6:B11))</f>
        <v>5</v>
      </c>
      <c r="B11" s="355">
        <v>23006</v>
      </c>
      <c r="C11" s="356" t="str">
        <f>INDEX('6. data thông tin nhân sự'!C:C, MATCH('5. Theo dõi mail'!B11, '6. data thông tin nhân sự'!B:B,0))</f>
        <v>Thái Bảo Ngọc</v>
      </c>
      <c r="D11" s="356" t="str">
        <f>INDEX('6. data thông tin nhân sự'!D:D, MATCH('5. Theo dõi mail'!B11, '6. data thông tin nhân sự'!B:B,0))</f>
        <v>Chính thức</v>
      </c>
      <c r="E11" s="356" t="str">
        <f>INDEX('6. data thông tin nhân sự'!G:G, MATCH('5. Theo dõi mail'!B11, '6. data thông tin nhân sự'!B:B,0))</f>
        <v>Kinh doanh - Account</v>
      </c>
      <c r="F11" s="356" t="str">
        <f>INDEX('6. data thông tin nhân sự'!H:H, MATCH('5. Theo dõi mail'!B11, '6. data thông tin nhân sự'!B:B,0))</f>
        <v>Senior Account Executive</v>
      </c>
      <c r="G11" s="356" t="str">
        <f>INDEX('6. data thông tin nhân sự'!L:L, MATCH('5. Theo dõi mail'!B11, '6. data thông tin nhân sự'!B:B,0))</f>
        <v>ngoctb@newdaymedia.com.vn</v>
      </c>
      <c r="H11" s="374" t="str">
        <f>INDEX('6. data thông tin nhân sự'!N:N, MATCH('5. Theo dõi mail'!B11, '6. data thông tin nhân sự'!B:B,0))</f>
        <v>10/07/2023</v>
      </c>
      <c r="I11" s="379"/>
      <c r="J11" s="379"/>
      <c r="K11" s="378" t="s">
        <v>1092</v>
      </c>
      <c r="L11" s="356" t="s">
        <v>1102</v>
      </c>
      <c r="M11" s="378" t="s">
        <v>1103</v>
      </c>
      <c r="N11" s="549"/>
      <c r="O11" s="356"/>
      <c r="P11" s="356"/>
      <c r="Q11" s="356"/>
      <c r="R11" s="356"/>
      <c r="S11" s="356"/>
      <c r="T11" s="356"/>
      <c r="U11" s="356"/>
      <c r="V11" s="596" t="s">
        <v>1101</v>
      </c>
      <c r="W11" s="598" t="s">
        <v>1085</v>
      </c>
      <c r="X11" s="448" t="s">
        <v>1104</v>
      </c>
      <c r="Y11" s="449">
        <v>46225</v>
      </c>
      <c r="Z11" s="356" t="s">
        <v>1105</v>
      </c>
      <c r="AA11" s="356" t="s">
        <v>1105</v>
      </c>
      <c r="AB11" s="356"/>
      <c r="AC11" s="378" t="s">
        <v>1106</v>
      </c>
      <c r="AD11" s="605"/>
      <c r="AF11" s="469" t="s">
        <v>1082</v>
      </c>
      <c r="AG11" s="471">
        <f>SUM(AG5:AG10)</f>
        <v>37</v>
      </c>
      <c r="AH11" s="471">
        <f>SUM(AH5:AH10)</f>
        <v>10</v>
      </c>
      <c r="AI11" s="471">
        <f t="shared" ref="AI11:AJ11" si="2">SUM(AI5:AI10)</f>
        <v>10</v>
      </c>
      <c r="AJ11" s="471">
        <f t="shared" si="2"/>
        <v>1</v>
      </c>
      <c r="AK11" s="471">
        <f>SUM(AK5:AK10)</f>
        <v>58</v>
      </c>
      <c r="AL11" s="470"/>
      <c r="AM11" s="486">
        <f>SUM(AM5:AM10)</f>
        <v>35</v>
      </c>
      <c r="AN11" s="486">
        <f t="shared" ref="AN11:AO11" si="3">SUM(AN5:AN10)</f>
        <v>12</v>
      </c>
      <c r="AO11" s="486">
        <f t="shared" si="3"/>
        <v>47</v>
      </c>
      <c r="AP11" s="470"/>
    </row>
    <row r="12" spans="1:42" ht="16.5">
      <c r="A12" s="438">
        <f>IF(B12="","",SUBTOTAL(3,$B$6:B12))</f>
        <v>6</v>
      </c>
      <c r="B12" s="355">
        <v>23007</v>
      </c>
      <c r="C12" s="356" t="str">
        <f>INDEX('6. data thông tin nhân sự'!C:C, MATCH('5. Theo dõi mail'!B12, '6. data thông tin nhân sự'!B:B,0))</f>
        <v>Đặng Thế Quang</v>
      </c>
      <c r="D12" s="356" t="str">
        <f>INDEX('6. data thông tin nhân sự'!D:D, MATCH('5. Theo dõi mail'!B12, '6. data thông tin nhân sự'!B:B,0))</f>
        <v>Chính thức</v>
      </c>
      <c r="E12" s="356" t="str">
        <f>INDEX('6. data thông tin nhân sự'!G:G, MATCH('5. Theo dõi mail'!B12, '6. data thông tin nhân sự'!B:B,0))</f>
        <v>Kinh doanh - Account</v>
      </c>
      <c r="F12" s="356" t="str">
        <f>INDEX('6. data thông tin nhân sự'!H:H, MATCH('5. Theo dõi mail'!B12, '6. data thông tin nhân sự'!B:B,0))</f>
        <v>Senior Account Executive</v>
      </c>
      <c r="G12" s="356" t="str">
        <f>INDEX('6. data thông tin nhân sự'!L:L, MATCH('5. Theo dõi mail'!B12, '6. data thông tin nhân sự'!B:B,0))</f>
        <v>quangdt@newdaymedia.com.vn</v>
      </c>
      <c r="H12" s="374" t="str">
        <f>INDEX('6. data thông tin nhân sự'!N:N, MATCH('5. Theo dõi mail'!B12, '6. data thông tin nhân sự'!B:B,0))</f>
        <v>05/09/2023</v>
      </c>
      <c r="I12" s="379"/>
      <c r="J12" s="379"/>
      <c r="K12" s="378" t="s">
        <v>1092</v>
      </c>
      <c r="L12" s="356" t="s">
        <v>1102</v>
      </c>
      <c r="M12" s="378" t="s">
        <v>1103</v>
      </c>
      <c r="N12" s="551"/>
      <c r="O12" s="378"/>
      <c r="P12" s="378"/>
      <c r="Q12" s="378"/>
      <c r="R12" s="378"/>
      <c r="S12" s="378"/>
      <c r="T12" s="378"/>
      <c r="U12" s="378"/>
      <c r="V12" s="599" t="s">
        <v>1107</v>
      </c>
      <c r="W12" s="595" t="s">
        <v>1084</v>
      </c>
      <c r="X12" s="448" t="s">
        <v>1104</v>
      </c>
      <c r="Y12" s="449">
        <v>46225</v>
      </c>
      <c r="Z12" s="356" t="s">
        <v>1105</v>
      </c>
      <c r="AA12" s="356" t="s">
        <v>1105</v>
      </c>
      <c r="AB12" s="448" t="s">
        <v>1108</v>
      </c>
      <c r="AC12" s="378" t="s">
        <v>1106</v>
      </c>
      <c r="AD12" s="605"/>
    </row>
    <row r="13" spans="1:42" ht="15">
      <c r="A13" s="353" t="s">
        <v>1109</v>
      </c>
      <c r="B13" s="354"/>
      <c r="C13" s="354"/>
      <c r="D13" s="354"/>
      <c r="E13" s="354"/>
      <c r="F13" s="354"/>
      <c r="G13" s="354"/>
      <c r="H13" s="408"/>
      <c r="I13" s="408"/>
      <c r="J13" s="408"/>
      <c r="K13" s="354"/>
      <c r="L13" s="441"/>
      <c r="M13" s="441"/>
      <c r="N13" s="550"/>
      <c r="O13" s="441"/>
      <c r="P13" s="441"/>
      <c r="Q13" s="441"/>
      <c r="R13" s="441"/>
      <c r="S13" s="441"/>
      <c r="T13" s="441"/>
      <c r="U13" s="441"/>
      <c r="V13" s="597"/>
      <c r="W13" s="597"/>
      <c r="X13" s="441"/>
      <c r="Y13" s="441"/>
      <c r="Z13" s="441"/>
      <c r="AA13" s="441"/>
      <c r="AB13" s="441"/>
      <c r="AC13" s="602"/>
      <c r="AD13" s="604"/>
    </row>
    <row r="14" spans="1:42" ht="16.5">
      <c r="A14" s="438">
        <f>IF(B14="","",SUBTOTAL(3,$B$6:B14))</f>
        <v>7</v>
      </c>
      <c r="B14" s="355">
        <v>20001</v>
      </c>
      <c r="C14" s="356" t="str">
        <f>INDEX('6. data thông tin nhân sự'!C:C, MATCH('5. Theo dõi mail'!B14, '6. data thông tin nhân sự'!B:B,0))</f>
        <v>Hoàng Quốc Nghị</v>
      </c>
      <c r="D14" s="356" t="str">
        <f>INDEX('6. data thông tin nhân sự'!D:D, MATCH('5. Theo dõi mail'!B14, '6. data thông tin nhân sự'!B:B,0))</f>
        <v>Chính thức</v>
      </c>
      <c r="E14" s="356" t="str">
        <f>INDEX('6. data thông tin nhân sự'!G:G, MATCH('5. Theo dõi mail'!B14, '6. data thông tin nhân sự'!B:B,0))</f>
        <v>Thiết kế - Design</v>
      </c>
      <c r="F14" s="356" t="str">
        <f>INDEX('6. data thông tin nhân sự'!H:H, MATCH('5. Theo dõi mail'!B14, '6. data thông tin nhân sự'!B:B,0))</f>
        <v>Design Manager</v>
      </c>
      <c r="G14" s="356" t="str">
        <f>INDEX('6. data thông tin nhân sự'!L:L, MATCH('5. Theo dõi mail'!B14, '6. data thông tin nhân sự'!B:B,0))</f>
        <v>quocnghi@newdaymedia.com.vn</v>
      </c>
      <c r="H14" s="374" t="str">
        <f>INDEX('6. data thông tin nhân sự'!N:N, MATCH('5. Theo dõi mail'!B14, '6. data thông tin nhân sự'!B:B,0))</f>
        <v>25/05/2020</v>
      </c>
      <c r="I14" s="379"/>
      <c r="J14" s="379"/>
      <c r="K14" s="378" t="s">
        <v>1092</v>
      </c>
      <c r="L14" s="356" t="s">
        <v>1110</v>
      </c>
      <c r="M14" s="378" t="s">
        <v>1103</v>
      </c>
      <c r="N14" s="551"/>
      <c r="O14" s="356"/>
      <c r="P14" s="356"/>
      <c r="Q14" s="356"/>
      <c r="R14" s="356"/>
      <c r="S14" s="356"/>
      <c r="T14" s="356"/>
      <c r="U14" s="356"/>
      <c r="V14" s="596" t="s">
        <v>1090</v>
      </c>
      <c r="W14" s="596" t="s">
        <v>1083</v>
      </c>
      <c r="X14" s="356"/>
      <c r="Y14" s="356"/>
      <c r="Z14" s="356"/>
      <c r="AA14" s="356"/>
      <c r="AB14" s="448" t="s">
        <v>1108</v>
      </c>
      <c r="AC14" s="834" t="s">
        <v>1111</v>
      </c>
      <c r="AD14" s="606"/>
    </row>
    <row r="15" spans="1:42" ht="16.5">
      <c r="A15" s="438">
        <f>IF(B15="","",SUBTOTAL(3,$B$6:B15))</f>
        <v>8</v>
      </c>
      <c r="B15" s="355">
        <v>21001</v>
      </c>
      <c r="C15" s="356" t="str">
        <f>INDEX('6. data thông tin nhân sự'!C:C, MATCH('5. Theo dõi mail'!B15, '6. data thông tin nhân sự'!B:B,0))</f>
        <v>Nguyễn  Việt Thắng</v>
      </c>
      <c r="D15" s="356" t="str">
        <f>INDEX('6. data thông tin nhân sự'!D:D, MATCH('5. Theo dõi mail'!B15, '6. data thông tin nhân sự'!B:B,0))</f>
        <v>Chính thức</v>
      </c>
      <c r="E15" s="356" t="str">
        <f>INDEX('6. data thông tin nhân sự'!G:G, MATCH('5. Theo dõi mail'!B15, '6. data thông tin nhân sự'!B:B,0))</f>
        <v>Thiết kế - Design</v>
      </c>
      <c r="F15" s="356" t="str">
        <f>INDEX('6. data thông tin nhân sự'!H:H, MATCH('5. Theo dõi mail'!B15, '6. data thông tin nhân sự'!B:B,0))</f>
        <v>3D Graphic Team leader</v>
      </c>
      <c r="G15" s="356" t="str">
        <f>INDEX('6. data thông tin nhân sự'!L:L, MATCH('5. Theo dõi mail'!B15, '6. data thông tin nhân sự'!B:B,0))</f>
        <v>vietthang@newdaymedia.com.vn</v>
      </c>
      <c r="H15" s="374" t="str">
        <f>INDEX('6. data thông tin nhân sự'!N:N, MATCH('5. Theo dõi mail'!B15, '6. data thông tin nhân sự'!B:B,0))</f>
        <v>06/09/2021</v>
      </c>
      <c r="I15" s="379"/>
      <c r="J15" s="379"/>
      <c r="K15" s="378" t="s">
        <v>1092</v>
      </c>
      <c r="L15" s="356" t="s">
        <v>1110</v>
      </c>
      <c r="M15" s="378" t="s">
        <v>1103</v>
      </c>
      <c r="N15" s="551"/>
      <c r="O15" s="356"/>
      <c r="P15" s="356"/>
      <c r="Q15" s="356"/>
      <c r="R15" s="356"/>
      <c r="S15" s="356"/>
      <c r="T15" s="356"/>
      <c r="U15" s="356"/>
      <c r="V15" s="596" t="s">
        <v>1090</v>
      </c>
      <c r="W15" s="596" t="s">
        <v>1083</v>
      </c>
      <c r="X15" s="356"/>
      <c r="Y15" s="356"/>
      <c r="Z15" s="356"/>
      <c r="AA15" s="356"/>
      <c r="AB15" s="448" t="s">
        <v>1108</v>
      </c>
      <c r="AC15" s="835"/>
      <c r="AD15" s="606"/>
    </row>
    <row r="16" spans="1:42" ht="16.5">
      <c r="A16" s="438">
        <f>IF(B16="","",SUBTOTAL(3,$B$6:B16))</f>
        <v>9</v>
      </c>
      <c r="B16" s="355">
        <v>21002</v>
      </c>
      <c r="C16" s="356" t="str">
        <f>INDEX('6. data thông tin nhân sự'!C:C, MATCH('5. Theo dõi mail'!B16, '6. data thông tin nhân sự'!B:B,0))</f>
        <v>Nguyễn Phương Mai</v>
      </c>
      <c r="D16" s="356" t="str">
        <f>INDEX('6. data thông tin nhân sự'!D:D, MATCH('5. Theo dõi mail'!B16, '6. data thông tin nhân sự'!B:B,0))</f>
        <v>Chính thức</v>
      </c>
      <c r="E16" s="356" t="str">
        <f>INDEX('6. data thông tin nhân sự'!G:G, MATCH('5. Theo dõi mail'!B16, '6. data thông tin nhân sự'!B:B,0))</f>
        <v>Thiết kế - Design</v>
      </c>
      <c r="F16" s="356" t="str">
        <f>INDEX('6. data thông tin nhân sự'!H:H, MATCH('5. Theo dõi mail'!B16, '6. data thông tin nhân sự'!B:B,0))</f>
        <v xml:space="preserve">Concept Development Team leader  </v>
      </c>
      <c r="G16" s="356" t="str">
        <f>INDEX('6. data thông tin nhân sự'!L:L, MATCH('5. Theo dõi mail'!B16, '6. data thông tin nhân sự'!B:B,0))</f>
        <v>mainp@newdaymedia.com.vn</v>
      </c>
      <c r="H16" s="374" t="str">
        <f>INDEX('6. data thông tin nhân sự'!N:N, MATCH('5. Theo dõi mail'!B16, '6. data thông tin nhân sự'!B:B,0))</f>
        <v>13/09/2021</v>
      </c>
      <c r="I16" s="379"/>
      <c r="J16" s="379"/>
      <c r="K16" s="378" t="s">
        <v>1092</v>
      </c>
      <c r="L16" s="356" t="s">
        <v>1110</v>
      </c>
      <c r="M16" s="378" t="s">
        <v>1103</v>
      </c>
      <c r="N16" s="551"/>
      <c r="O16" s="356"/>
      <c r="P16" s="356"/>
      <c r="Q16" s="356"/>
      <c r="R16" s="356"/>
      <c r="S16" s="356"/>
      <c r="T16" s="356"/>
      <c r="U16" s="356"/>
      <c r="V16" s="596" t="s">
        <v>1090</v>
      </c>
      <c r="W16" s="596" t="s">
        <v>1083</v>
      </c>
      <c r="X16" s="356"/>
      <c r="Y16" s="356"/>
      <c r="Z16" s="356"/>
      <c r="AA16" s="356"/>
      <c r="AB16" s="448" t="s">
        <v>1108</v>
      </c>
      <c r="AC16" s="835"/>
      <c r="AD16" s="606"/>
    </row>
    <row r="17" spans="1:43" ht="16.5">
      <c r="A17" s="438">
        <f>IF(B17="","",SUBTOTAL(3,$B$6:B17))</f>
        <v>10</v>
      </c>
      <c r="B17" s="355">
        <v>23001</v>
      </c>
      <c r="C17" s="356" t="str">
        <f>INDEX('6. data thông tin nhân sự'!C:C, MATCH('5. Theo dõi mail'!B17, '6. data thông tin nhân sự'!B:B,0))</f>
        <v>Thái Thị Thanh Thảo</v>
      </c>
      <c r="D17" s="356" t="str">
        <f>INDEX('6. data thông tin nhân sự'!D:D, MATCH('5. Theo dõi mail'!B17, '6. data thông tin nhân sự'!B:B,0))</f>
        <v>Chính thức</v>
      </c>
      <c r="E17" s="356" t="str">
        <f>INDEX('6. data thông tin nhân sự'!G:G, MATCH('5. Theo dõi mail'!B17, '6. data thông tin nhân sự'!B:B,0))</f>
        <v>Thiết kế - Design</v>
      </c>
      <c r="F17" s="356" t="str">
        <f>INDEX('6. data thông tin nhân sự'!H:H, MATCH('5. Theo dõi mail'!B17, '6. data thông tin nhân sự'!B:B,0))</f>
        <v>2D Graphic Designer</v>
      </c>
      <c r="G17" s="356" t="str">
        <f>INDEX('6. data thông tin nhân sự'!L:L, MATCH('5. Theo dõi mail'!B17, '6. data thông tin nhân sự'!B:B,0))</f>
        <v>thaottt@newdaymedia.com.vn</v>
      </c>
      <c r="H17" s="374" t="str">
        <f>INDEX('6. data thông tin nhân sự'!N:N, MATCH('5. Theo dõi mail'!B17, '6. data thông tin nhân sự'!B:B,0))</f>
        <v>20/02/2023</v>
      </c>
      <c r="I17" s="379"/>
      <c r="J17" s="379"/>
      <c r="K17" s="378" t="s">
        <v>1092</v>
      </c>
      <c r="L17" s="356" t="s">
        <v>1110</v>
      </c>
      <c r="M17" s="378" t="s">
        <v>1103</v>
      </c>
      <c r="N17" s="551"/>
      <c r="O17" s="356"/>
      <c r="P17" s="356"/>
      <c r="Q17" s="356"/>
      <c r="R17" s="356"/>
      <c r="S17" s="356"/>
      <c r="T17" s="356"/>
      <c r="U17" s="356"/>
      <c r="V17" s="596" t="s">
        <v>1090</v>
      </c>
      <c r="W17" s="596" t="s">
        <v>1083</v>
      </c>
      <c r="X17" s="356"/>
      <c r="Y17" s="356"/>
      <c r="Z17" s="356"/>
      <c r="AA17" s="356"/>
      <c r="AB17" s="448" t="s">
        <v>1108</v>
      </c>
      <c r="AC17" s="835"/>
      <c r="AD17" s="606"/>
      <c r="AF17" s="829" t="s">
        <v>1112</v>
      </c>
      <c r="AG17" s="830"/>
      <c r="AI17" s="829" t="s">
        <v>1113</v>
      </c>
      <c r="AJ17" s="830"/>
      <c r="AL17" s="831" t="s">
        <v>1114</v>
      </c>
      <c r="AM17" s="831"/>
      <c r="AP17" s="832" t="s">
        <v>1115</v>
      </c>
      <c r="AQ17" s="833"/>
    </row>
    <row r="18" spans="1:43" ht="18.75">
      <c r="A18" s="438">
        <f>IF(B18="","",SUBTOTAL(3,$B$6:B18))</f>
        <v>11</v>
      </c>
      <c r="B18" s="355">
        <v>23002</v>
      </c>
      <c r="C18" s="356" t="str">
        <f>INDEX('6. data thông tin nhân sự'!C:C, MATCH('5. Theo dõi mail'!B18, '6. data thông tin nhân sự'!B:B,0))</f>
        <v>Vũ Thị Mai Linh</v>
      </c>
      <c r="D18" s="356" t="str">
        <f>INDEX('6. data thông tin nhân sự'!D:D, MATCH('5. Theo dõi mail'!B18, '6. data thông tin nhân sự'!B:B,0))</f>
        <v>Chính thức</v>
      </c>
      <c r="E18" s="356" t="str">
        <f>INDEX('6. data thông tin nhân sự'!G:G, MATCH('5. Theo dõi mail'!B18, '6. data thông tin nhân sự'!B:B,0))</f>
        <v>Thiết kế - Design</v>
      </c>
      <c r="F18" s="356" t="str">
        <f>INDEX('6. data thông tin nhân sự'!H:H, MATCH('5. Theo dõi mail'!B18, '6. data thông tin nhân sự'!B:B,0))</f>
        <v>3D Graphic Designer</v>
      </c>
      <c r="G18" s="356" t="str">
        <f>INDEX('6. data thông tin nhân sự'!L:L, MATCH('5. Theo dõi mail'!B18, '6. data thông tin nhân sự'!B:B,0))</f>
        <v>linhvtm@newdaymedia.com.vn</v>
      </c>
      <c r="H18" s="374" t="str">
        <f>INDEX('6. data thông tin nhân sự'!N:N, MATCH('5. Theo dõi mail'!B18, '6. data thông tin nhân sự'!B:B,0))</f>
        <v>28/02/2023</v>
      </c>
      <c r="I18" s="379"/>
      <c r="J18" s="379"/>
      <c r="K18" s="378" t="s">
        <v>1092</v>
      </c>
      <c r="L18" s="356" t="s">
        <v>1110</v>
      </c>
      <c r="M18" s="378" t="s">
        <v>1103</v>
      </c>
      <c r="N18" s="551"/>
      <c r="O18" s="356"/>
      <c r="P18" s="356"/>
      <c r="Q18" s="356"/>
      <c r="R18" s="356"/>
      <c r="S18" s="356"/>
      <c r="T18" s="356"/>
      <c r="U18" s="356"/>
      <c r="V18" s="596" t="s">
        <v>1090</v>
      </c>
      <c r="W18" s="596" t="s">
        <v>1083</v>
      </c>
      <c r="X18" s="356"/>
      <c r="Y18" s="356"/>
      <c r="Z18" s="356"/>
      <c r="AA18" s="356"/>
      <c r="AB18" s="448" t="s">
        <v>1108</v>
      </c>
      <c r="AC18" s="835"/>
      <c r="AD18" s="606"/>
      <c r="AF18" s="440" t="s">
        <v>1098</v>
      </c>
      <c r="AG18" s="440">
        <f>COUNTIF(L6:L80, "Basic")</f>
        <v>14</v>
      </c>
      <c r="AI18" s="457" t="s">
        <v>1083</v>
      </c>
      <c r="AJ18" s="458">
        <f>COUNTIF(W6:W81, "Win bản quyền - Pro")</f>
        <v>37</v>
      </c>
      <c r="AL18" s="457" t="s">
        <v>1099</v>
      </c>
      <c r="AM18" s="458">
        <v>3</v>
      </c>
      <c r="AP18" s="514" t="s">
        <v>1116</v>
      </c>
      <c r="AQ18" s="506">
        <f>COUNTIF(AB5:AB79, "IT kiểm soát đúng quy định")</f>
        <v>23</v>
      </c>
    </row>
    <row r="19" spans="1:43" ht="18.75">
      <c r="A19" s="438">
        <f>IF(B19="","",SUBTOTAL(3,$B$6:B19))</f>
        <v>12</v>
      </c>
      <c r="B19" s="355">
        <v>24006</v>
      </c>
      <c r="C19" s="356" t="str">
        <f>INDEX('6. data thông tin nhân sự'!C:C, MATCH('5. Theo dõi mail'!B19, '6. data thông tin nhân sự'!B:B,0))</f>
        <v>Nguyễn Thị Thuỷ Tiên</v>
      </c>
      <c r="D19" s="356" t="str">
        <f>INDEX('6. data thông tin nhân sự'!D:D, MATCH('5. Theo dõi mail'!B19, '6. data thông tin nhân sự'!B:B,0))</f>
        <v>Chính thức</v>
      </c>
      <c r="E19" s="356" t="str">
        <f>INDEX('6. data thông tin nhân sự'!G:G, MATCH('5. Theo dõi mail'!B19, '6. data thông tin nhân sự'!B:B,0))</f>
        <v>Thiết kế - Design</v>
      </c>
      <c r="F19" s="356" t="str">
        <f>INDEX('6. data thông tin nhân sự'!H:H, MATCH('5. Theo dõi mail'!B19, '6. data thông tin nhân sự'!B:B,0))</f>
        <v>Concept Development Excutive</v>
      </c>
      <c r="G19" s="356" t="str">
        <f>INDEX('6. data thông tin nhân sự'!L:L, MATCH('5. Theo dõi mail'!B19, '6. data thông tin nhân sự'!B:B,0))</f>
        <v>tiennt@newdaymedia.com.vn</v>
      </c>
      <c r="H19" s="374" t="str">
        <f>INDEX('6. data thông tin nhân sự'!N:N, MATCH('5. Theo dõi mail'!B19, '6. data thông tin nhân sự'!B:B,0))</f>
        <v>15/08/2024</v>
      </c>
      <c r="I19" s="379"/>
      <c r="J19" s="379"/>
      <c r="K19" s="378" t="s">
        <v>1092</v>
      </c>
      <c r="L19" s="356" t="s">
        <v>1110</v>
      </c>
      <c r="M19" s="378" t="s">
        <v>1103</v>
      </c>
      <c r="N19" s="551"/>
      <c r="O19" s="356"/>
      <c r="P19" s="356"/>
      <c r="Q19" s="356"/>
      <c r="R19" s="356"/>
      <c r="S19" s="356"/>
      <c r="T19" s="356"/>
      <c r="U19" s="356"/>
      <c r="V19" s="596" t="s">
        <v>1090</v>
      </c>
      <c r="W19" s="596" t="s">
        <v>1083</v>
      </c>
      <c r="X19" s="356"/>
      <c r="Y19" s="356"/>
      <c r="Z19" s="356"/>
      <c r="AA19" s="356"/>
      <c r="AB19" s="448" t="s">
        <v>1108</v>
      </c>
      <c r="AC19" s="835"/>
      <c r="AD19" s="606"/>
      <c r="AF19" s="439" t="s">
        <v>1102</v>
      </c>
      <c r="AG19" s="440">
        <f>COUNTIF(L6:L80, "Standard")</f>
        <v>13</v>
      </c>
      <c r="AI19" s="457" t="s">
        <v>1085</v>
      </c>
      <c r="AJ19" s="458">
        <f>COUNTIF(W6:W81, "MacOS")</f>
        <v>10</v>
      </c>
      <c r="AL19" s="457" t="s">
        <v>1090</v>
      </c>
      <c r="AM19" s="458">
        <f>COUNTIF(V6:V80, "PC - Công ty")</f>
        <v>38</v>
      </c>
      <c r="AP19" s="515" t="s">
        <v>1108</v>
      </c>
      <c r="AQ19" s="483">
        <f>COUNTIF(AB5:AB78, "Đang cài đặt bản crack")</f>
        <v>21</v>
      </c>
    </row>
    <row r="20" spans="1:43" ht="18.75">
      <c r="A20" s="438">
        <f>IF(B20="","",SUBTOTAL(3,$B$6:B20))</f>
        <v>13</v>
      </c>
      <c r="B20" s="355">
        <v>24009</v>
      </c>
      <c r="C20" s="356" t="str">
        <f>INDEX('6. data thông tin nhân sự'!C:C, MATCH('5. Theo dõi mail'!B20, '6. data thông tin nhân sự'!B:B,0))</f>
        <v>Bùi Trịnh Tuệ Khanh</v>
      </c>
      <c r="D20" s="356" t="str">
        <f>INDEX('6. data thông tin nhân sự'!D:D, MATCH('5. Theo dõi mail'!B20, '6. data thông tin nhân sự'!B:B,0))</f>
        <v>Chính thức</v>
      </c>
      <c r="E20" s="356" t="str">
        <f>INDEX('6. data thông tin nhân sự'!G:G, MATCH('5. Theo dõi mail'!B20, '6. data thông tin nhân sự'!B:B,0))</f>
        <v>Thiết kế - Design</v>
      </c>
      <c r="F20" s="356" t="str">
        <f>INDEX('6. data thông tin nhân sự'!H:H, MATCH('5. Theo dõi mail'!B20, '6. data thông tin nhân sự'!B:B,0))</f>
        <v>Concept Development Excutive</v>
      </c>
      <c r="G20" s="356" t="str">
        <f>INDEX('6. data thông tin nhân sự'!L:L, MATCH('5. Theo dõi mail'!B20, '6. data thông tin nhân sự'!B:B,0))</f>
        <v>khanhbtt@newdaymedia.com.vn</v>
      </c>
      <c r="H20" s="374" t="str">
        <f>INDEX('6. data thông tin nhân sự'!N:N, MATCH('5. Theo dõi mail'!B20, '6. data thông tin nhân sự'!B:B,0))</f>
        <v>26/12/2024</v>
      </c>
      <c r="I20" s="379"/>
      <c r="J20" s="379"/>
      <c r="K20" s="378" t="s">
        <v>1092</v>
      </c>
      <c r="L20" s="356" t="s">
        <v>1110</v>
      </c>
      <c r="M20" s="378" t="s">
        <v>1103</v>
      </c>
      <c r="N20" s="551"/>
      <c r="O20" s="356"/>
      <c r="P20" s="356"/>
      <c r="Q20" s="356"/>
      <c r="R20" s="356"/>
      <c r="S20" s="356"/>
      <c r="T20" s="356"/>
      <c r="U20" s="356"/>
      <c r="V20" s="596" t="s">
        <v>1090</v>
      </c>
      <c r="W20" s="596" t="s">
        <v>1083</v>
      </c>
      <c r="X20" s="356"/>
      <c r="Y20" s="356"/>
      <c r="Z20" s="356"/>
      <c r="AA20" s="356"/>
      <c r="AB20" s="448" t="s">
        <v>1108</v>
      </c>
      <c r="AC20" s="835"/>
      <c r="AD20" s="606"/>
      <c r="AF20" s="582" t="s">
        <v>1110</v>
      </c>
      <c r="AG20" s="583">
        <f>COUNTIF(L6:L80, "Premium")</f>
        <v>34</v>
      </c>
      <c r="AI20" s="457" t="s">
        <v>1086</v>
      </c>
      <c r="AJ20" s="458">
        <f>COUNTIF(W6:W81, "Chưa có Win bản quyền")</f>
        <v>1</v>
      </c>
      <c r="AL20" s="457" t="s">
        <v>1101</v>
      </c>
      <c r="AM20" s="458">
        <f>COUNTIF(V6:V80, "Laptop cá nhân - MacOS")</f>
        <v>9</v>
      </c>
      <c r="AP20" s="439" t="s">
        <v>1117</v>
      </c>
      <c r="AQ20" s="483">
        <f>COUNTIF(AB6:AB80, "IT check PM cài đặt máy ngày 22/07/2026")</f>
        <v>7</v>
      </c>
    </row>
    <row r="21" spans="1:43" ht="18.75">
      <c r="A21" s="438">
        <f>IF(B21="","",SUBTOTAL(3,$B$6:B21))</f>
        <v>14</v>
      </c>
      <c r="B21" s="355">
        <v>26003</v>
      </c>
      <c r="C21" s="356" t="str">
        <f>INDEX('6. data thông tin nhân sự'!C:C, MATCH('5. Theo dõi mail'!B21, '6. data thông tin nhân sự'!B:B,0))</f>
        <v>Vũ Đăng Duy</v>
      </c>
      <c r="D21" s="356" t="str">
        <f>INDEX('6. data thông tin nhân sự'!D:D, MATCH('5. Theo dõi mail'!B21, '6. data thông tin nhân sự'!B:B,0))</f>
        <v>Chính thức</v>
      </c>
      <c r="E21" s="356" t="str">
        <f>INDEX('6. data thông tin nhân sự'!G:G, MATCH('5. Theo dõi mail'!B21, '6. data thông tin nhân sự'!B:B,0))</f>
        <v>Thiết kế - Design</v>
      </c>
      <c r="F21" s="356" t="str">
        <f>INDEX('6. data thông tin nhân sự'!H:H, MATCH('5. Theo dõi mail'!B21, '6. data thông tin nhân sự'!B:B,0))</f>
        <v>2D Graphic Designer</v>
      </c>
      <c r="G21" s="356" t="str">
        <f>INDEX('6. data thông tin nhân sự'!L:L, MATCH('5. Theo dõi mail'!B21, '6. data thông tin nhân sự'!B:B,0))</f>
        <v>Duyvd@newdaymedia.com.vn</v>
      </c>
      <c r="H21" s="374" t="str">
        <f>INDEX('6. data thông tin nhân sự'!N:N, MATCH('5. Theo dõi mail'!B21, '6. data thông tin nhân sự'!B:B,0))</f>
        <v>02/03/2026</v>
      </c>
      <c r="I21" s="379"/>
      <c r="J21" s="379"/>
      <c r="K21" s="378" t="s">
        <v>1092</v>
      </c>
      <c r="L21" s="356" t="s">
        <v>1110</v>
      </c>
      <c r="M21" s="378" t="s">
        <v>1103</v>
      </c>
      <c r="N21" s="551"/>
      <c r="O21" s="356"/>
      <c r="P21" s="356"/>
      <c r="Q21" s="356"/>
      <c r="R21" s="356"/>
      <c r="S21" s="356"/>
      <c r="T21" s="356"/>
      <c r="U21" s="356"/>
      <c r="V21" s="596" t="s">
        <v>1090</v>
      </c>
      <c r="W21" s="596" t="s">
        <v>1083</v>
      </c>
      <c r="X21" s="356"/>
      <c r="Y21" s="356"/>
      <c r="Z21" s="356"/>
      <c r="AA21" s="356"/>
      <c r="AB21" s="448" t="s">
        <v>1108</v>
      </c>
      <c r="AC21" s="835"/>
      <c r="AD21" s="606"/>
      <c r="AF21" s="586" t="s">
        <v>1093</v>
      </c>
      <c r="AG21" s="440">
        <f>COUNTIF(L6:L80, "E3 - Enterprise")</f>
        <v>2</v>
      </c>
      <c r="AI21" s="509"/>
      <c r="AJ21" s="511">
        <f>SUM(AJ18:AJ20)</f>
        <v>48</v>
      </c>
      <c r="AL21" s="457" t="s">
        <v>1118</v>
      </c>
      <c r="AM21" s="458">
        <f>COUNTIF(V7:V80, "Laptop cá nhân")</f>
        <v>4</v>
      </c>
      <c r="AP21" s="581"/>
      <c r="AQ21" s="580">
        <f>AQ18+AQ19+AQ20</f>
        <v>51</v>
      </c>
    </row>
    <row r="22" spans="1:43" ht="18.75">
      <c r="A22" s="438">
        <f>IF(B22="","",SUBTOTAL(3,$B$6:B22))</f>
        <v>15</v>
      </c>
      <c r="B22" s="289">
        <v>26027</v>
      </c>
      <c r="C22" s="356" t="str">
        <f>INDEX('6. data thông tin nhân sự'!C:C, MATCH('5. Theo dõi mail'!B22, '6. data thông tin nhân sự'!B:B,0))</f>
        <v>Trần Duy Nam</v>
      </c>
      <c r="D22" s="356" t="str">
        <f>INDEX('6. data thông tin nhân sự'!D:D, MATCH('5. Theo dõi mail'!B22, '6. data thông tin nhân sự'!B:B,0))</f>
        <v>Thử việc</v>
      </c>
      <c r="E22" s="356" t="str">
        <f>INDEX('6. data thông tin nhân sự'!G:G, MATCH('5. Theo dõi mail'!B22, '6. data thông tin nhân sự'!B:B,0))</f>
        <v>Thiết kế - Design</v>
      </c>
      <c r="F22" s="356" t="str">
        <f>INDEX('6. data thông tin nhân sự'!H:H, MATCH('5. Theo dõi mail'!B22, '6. data thông tin nhân sự'!B:B,0))</f>
        <v>3D Graphic Designer</v>
      </c>
      <c r="G22" s="356" t="str">
        <f>INDEX('6. data thông tin nhân sự'!L:L, MATCH('5. Theo dõi mail'!B22, '6. data thông tin nhân sự'!B:B,0))</f>
        <v>Namtd@newdaymedia.com.vn</v>
      </c>
      <c r="H22" s="374" t="str">
        <f>INDEX('6. data thông tin nhân sự'!N:N, MATCH('5. Theo dõi mail'!B22, '6. data thông tin nhân sự'!B:B,0))</f>
        <v>10/08/2026</v>
      </c>
      <c r="I22" s="379"/>
      <c r="J22" s="379"/>
      <c r="K22" s="378" t="s">
        <v>1092</v>
      </c>
      <c r="L22" s="356" t="s">
        <v>1098</v>
      </c>
      <c r="M22" s="356"/>
      <c r="N22" s="549"/>
      <c r="O22" s="356"/>
      <c r="P22" s="356"/>
      <c r="Q22" s="356"/>
      <c r="R22" s="356"/>
      <c r="S22" s="356"/>
      <c r="T22" s="356"/>
      <c r="U22" s="356"/>
      <c r="V22" s="596" t="s">
        <v>1090</v>
      </c>
      <c r="W22" s="596" t="s">
        <v>1083</v>
      </c>
      <c r="X22" s="356"/>
      <c r="Y22" s="356"/>
      <c r="Z22" s="356"/>
      <c r="AA22" s="356"/>
      <c r="AB22" s="448" t="s">
        <v>1108</v>
      </c>
      <c r="AC22" s="836"/>
      <c r="AD22" s="606"/>
      <c r="AF22" s="512"/>
      <c r="AG22" s="513">
        <f>SUM(AG18:AG21)</f>
        <v>63</v>
      </c>
      <c r="AL22" s="507" t="s">
        <v>1097</v>
      </c>
      <c r="AM22" s="508">
        <f>COUNTIF(V6:V81, "Laptop công ty")</f>
        <v>1</v>
      </c>
    </row>
    <row r="23" spans="1:43" ht="18.75">
      <c r="A23" s="353" t="s">
        <v>405</v>
      </c>
      <c r="B23" s="354"/>
      <c r="C23" s="354"/>
      <c r="D23" s="354"/>
      <c r="E23" s="354"/>
      <c r="F23" s="354"/>
      <c r="G23" s="354"/>
      <c r="H23" s="408"/>
      <c r="I23" s="408"/>
      <c r="J23" s="408"/>
      <c r="K23" s="354"/>
      <c r="L23" s="441"/>
      <c r="M23" s="441"/>
      <c r="N23" s="550"/>
      <c r="O23" s="441"/>
      <c r="P23" s="441"/>
      <c r="Q23" s="441"/>
      <c r="R23" s="441"/>
      <c r="S23" s="441"/>
      <c r="T23" s="441"/>
      <c r="U23" s="441"/>
      <c r="V23" s="597"/>
      <c r="W23" s="597"/>
      <c r="X23" s="441"/>
      <c r="Y23" s="441"/>
      <c r="Z23" s="441"/>
      <c r="AA23" s="441"/>
      <c r="AB23" s="441"/>
      <c r="AC23" s="602"/>
      <c r="AD23" s="604"/>
      <c r="AL23" s="509"/>
      <c r="AM23" s="510">
        <f>SUM(AM18:AM22)</f>
        <v>55</v>
      </c>
    </row>
    <row r="24" spans="1:43" ht="16.5">
      <c r="A24" s="438">
        <f>IF(B24="","",SUBTOTAL(3,$B$6:B24))</f>
        <v>16</v>
      </c>
      <c r="B24" s="355">
        <v>26025</v>
      </c>
      <c r="C24" s="356" t="str">
        <f>INDEX('6. data thông tin nhân sự'!C:C, MATCH('5. Theo dõi mail'!B24, '6. data thông tin nhân sự'!B:B,0))</f>
        <v>Nguyễn Thành Công</v>
      </c>
      <c r="D24" s="356" t="str">
        <f>INDEX('6. data thông tin nhân sự'!D:D, MATCH('5. Theo dõi mail'!B24, '6. data thông tin nhân sự'!B:B,0))</f>
        <v xml:space="preserve">Nghỉ việc </v>
      </c>
      <c r="E24" s="356" t="str">
        <f>INDEX('6. data thông tin nhân sự'!G:G, MATCH('5. Theo dõi mail'!B24, '6. data thông tin nhân sự'!B:B,0))</f>
        <v>Sự kiện - Event</v>
      </c>
      <c r="F24" s="356" t="str">
        <f>INDEX('6. data thông tin nhân sự'!H:H, MATCH('5. Theo dõi mail'!B24, '6. data thông tin nhân sự'!B:B,0))</f>
        <v>Event Manager</v>
      </c>
      <c r="G24" s="356" t="str">
        <f>INDEX('6. data thông tin nhân sự'!L:L, MATCH('5. Theo dõi mail'!B24, '6. data thông tin nhân sự'!B:B,0))</f>
        <v>congnt@newdaymedia.com.vn</v>
      </c>
      <c r="H24" s="374" t="str">
        <f>INDEX('6. data thông tin nhân sự'!N:N, MATCH('5. Theo dõi mail'!B24, '6. data thông tin nhân sự'!B:B,0))</f>
        <v>05/08/2026</v>
      </c>
      <c r="I24" s="379"/>
      <c r="J24" s="379"/>
      <c r="K24" s="378" t="s">
        <v>1092</v>
      </c>
      <c r="L24" s="356" t="s">
        <v>1110</v>
      </c>
      <c r="M24" s="378" t="s">
        <v>1103</v>
      </c>
      <c r="N24" s="551"/>
      <c r="O24" s="356"/>
      <c r="P24" s="356"/>
      <c r="Q24" s="356"/>
      <c r="R24" s="356"/>
      <c r="S24" s="356"/>
      <c r="T24" s="356"/>
      <c r="U24" s="356"/>
      <c r="V24" s="596" t="s">
        <v>1090</v>
      </c>
      <c r="W24" s="596" t="s">
        <v>1083</v>
      </c>
      <c r="X24" s="448" t="s">
        <v>1104</v>
      </c>
      <c r="Y24" s="449">
        <v>46220</v>
      </c>
      <c r="Z24" s="356" t="s">
        <v>1105</v>
      </c>
      <c r="AA24" s="356" t="s">
        <v>1105</v>
      </c>
      <c r="AB24" s="356" t="s">
        <v>1119</v>
      </c>
      <c r="AC24" s="378"/>
      <c r="AD24" s="605"/>
    </row>
    <row r="25" spans="1:43" ht="16.5">
      <c r="A25" s="438">
        <f>IF(B25="","",SUBTOTAL(3,$B$6:B25))</f>
        <v>17</v>
      </c>
      <c r="B25" s="355">
        <v>22001</v>
      </c>
      <c r="C25" s="356" t="str">
        <f>INDEX('6. data thông tin nhân sự'!C:C, MATCH('5. Theo dõi mail'!B25, '6. data thông tin nhân sự'!B:B,0))</f>
        <v>Bùi Xuân Dân</v>
      </c>
      <c r="D25" s="356" t="str">
        <f>INDEX('6. data thông tin nhân sự'!D:D, MATCH('5. Theo dõi mail'!B25, '6. data thông tin nhân sự'!B:B,0))</f>
        <v>Chính thức</v>
      </c>
      <c r="E25" s="356" t="str">
        <f>INDEX('6. data thông tin nhân sự'!G:G, MATCH('5. Theo dõi mail'!B25, '6. data thông tin nhân sự'!B:B,0))</f>
        <v>Sự kiện - Event</v>
      </c>
      <c r="F25" s="356" t="str">
        <f>INDEX('6. data thông tin nhân sự'!H:H, MATCH('5. Theo dõi mail'!B25, '6. data thông tin nhân sự'!B:B,0))</f>
        <v>Event Team Leader</v>
      </c>
      <c r="G25" s="356" t="str">
        <f>INDEX('6. data thông tin nhân sự'!L:L, MATCH('5. Theo dõi mail'!B25, '6. data thông tin nhân sự'!B:B,0))</f>
        <v>danbx@newdaymedia.com.vn</v>
      </c>
      <c r="H25" s="374" t="str">
        <f>INDEX('6. data thông tin nhân sự'!N:N, MATCH('5. Theo dõi mail'!B25, '6. data thông tin nhân sự'!B:B,0))</f>
        <v>16/05/2022</v>
      </c>
      <c r="I25" s="379"/>
      <c r="J25" s="379"/>
      <c r="K25" s="378" t="s">
        <v>1092</v>
      </c>
      <c r="L25" s="356" t="s">
        <v>1110</v>
      </c>
      <c r="M25" s="378" t="s">
        <v>1103</v>
      </c>
      <c r="N25" s="551"/>
      <c r="O25" s="356"/>
      <c r="P25" s="356"/>
      <c r="Q25" s="356"/>
      <c r="R25" s="356"/>
      <c r="S25" s="356"/>
      <c r="T25" s="356"/>
      <c r="U25" s="356"/>
      <c r="V25" s="596" t="s">
        <v>1090</v>
      </c>
      <c r="W25" s="596" t="s">
        <v>1083</v>
      </c>
      <c r="X25" s="448" t="s">
        <v>1104</v>
      </c>
      <c r="Y25" s="449">
        <v>46220</v>
      </c>
      <c r="Z25" s="356" t="s">
        <v>1105</v>
      </c>
      <c r="AA25" s="356" t="s">
        <v>1105</v>
      </c>
      <c r="AB25" s="356" t="s">
        <v>1119</v>
      </c>
      <c r="AC25" s="378"/>
      <c r="AD25" s="605"/>
    </row>
    <row r="26" spans="1:43" ht="16.5">
      <c r="A26" s="438">
        <f>IF(B26="","",SUBTOTAL(3,$B$6:B26))</f>
        <v>18</v>
      </c>
      <c r="B26" s="355">
        <v>23008</v>
      </c>
      <c r="C26" s="356" t="str">
        <f>INDEX('6. data thông tin nhân sự'!C:C, MATCH('5. Theo dõi mail'!B26, '6. data thông tin nhân sự'!B:B,0))</f>
        <v>Hoàng Hà Giang</v>
      </c>
      <c r="D26" s="356" t="str">
        <f>INDEX('6. data thông tin nhân sự'!D:D, MATCH('5. Theo dõi mail'!B26, '6. data thông tin nhân sự'!B:B,0))</f>
        <v>Chính thức</v>
      </c>
      <c r="E26" s="356" t="str">
        <f>INDEX('6. data thông tin nhân sự'!G:G, MATCH('5. Theo dõi mail'!B26, '6. data thông tin nhân sự'!B:B,0))</f>
        <v>Sự kiện - Event</v>
      </c>
      <c r="F26" s="356" t="str">
        <f>INDEX('6. data thông tin nhân sự'!H:H, MATCH('5. Theo dõi mail'!B26, '6. data thông tin nhân sự'!B:B,0))</f>
        <v>Event Executive</v>
      </c>
      <c r="G26" s="356" t="str">
        <f>INDEX('6. data thông tin nhân sự'!L:L, MATCH('5. Theo dõi mail'!B26, '6. data thông tin nhân sự'!B:B,0))</f>
        <v>gianghh@newdaymedia.com.vn</v>
      </c>
      <c r="H26" s="374" t="str">
        <f>INDEX('6. data thông tin nhân sự'!N:N, MATCH('5. Theo dõi mail'!B26, '6. data thông tin nhân sự'!B:B,0))</f>
        <v>01/12/2023</v>
      </c>
      <c r="I26" s="379"/>
      <c r="J26" s="379"/>
      <c r="K26" s="378" t="s">
        <v>1092</v>
      </c>
      <c r="L26" s="356" t="s">
        <v>1110</v>
      </c>
      <c r="M26" s="378" t="s">
        <v>1103</v>
      </c>
      <c r="N26" s="551"/>
      <c r="O26" s="356"/>
      <c r="P26" s="356"/>
      <c r="Q26" s="356"/>
      <c r="R26" s="356"/>
      <c r="S26" s="356"/>
      <c r="T26" s="356"/>
      <c r="U26" s="356"/>
      <c r="V26" s="596" t="s">
        <v>1090</v>
      </c>
      <c r="W26" s="596" t="s">
        <v>1083</v>
      </c>
      <c r="X26" s="448" t="s">
        <v>1104</v>
      </c>
      <c r="Y26" s="449">
        <v>46220</v>
      </c>
      <c r="Z26" s="356" t="s">
        <v>1105</v>
      </c>
      <c r="AA26" s="356" t="s">
        <v>1105</v>
      </c>
      <c r="AB26" s="356" t="s">
        <v>1119</v>
      </c>
      <c r="AC26" s="378"/>
      <c r="AD26" s="605"/>
    </row>
    <row r="27" spans="1:43" ht="16.5">
      <c r="A27" s="438">
        <f>IF(B27="","",SUBTOTAL(3,$B$6:B27))</f>
        <v>19</v>
      </c>
      <c r="B27" s="355">
        <v>25012</v>
      </c>
      <c r="C27" s="356" t="str">
        <f>INDEX('6. data thông tin nhân sự'!C:C, MATCH('5. Theo dõi mail'!B27, '6. data thông tin nhân sự'!B:B,0))</f>
        <v>Dương Nguyên Bảo</v>
      </c>
      <c r="D27" s="356" t="str">
        <f>INDEX('6. data thông tin nhân sự'!D:D, MATCH('5. Theo dõi mail'!B27, '6. data thông tin nhân sự'!B:B,0))</f>
        <v>Chính thức</v>
      </c>
      <c r="E27" s="356" t="str">
        <f>INDEX('6. data thông tin nhân sự'!G:G, MATCH('5. Theo dõi mail'!B27, '6. data thông tin nhân sự'!B:B,0))</f>
        <v>Sự kiện - Event</v>
      </c>
      <c r="F27" s="356" t="str">
        <f>INDEX('6. data thông tin nhân sự'!H:H, MATCH('5. Theo dõi mail'!B27, '6. data thông tin nhân sự'!B:B,0))</f>
        <v>Event Production Officer</v>
      </c>
      <c r="G27" s="356" t="str">
        <f>INDEX('6. data thông tin nhân sự'!L:L, MATCH('5. Theo dõi mail'!B27, '6. data thông tin nhân sự'!B:B,0))</f>
        <v>baodn@newdaymedia.com.vn</v>
      </c>
      <c r="H27" s="374" t="str">
        <f>INDEX('6. data thông tin nhân sự'!N:N, MATCH('5. Theo dõi mail'!B27, '6. data thông tin nhân sự'!B:B,0))</f>
        <v>09/06/2025</v>
      </c>
      <c r="I27" s="379"/>
      <c r="J27" s="379"/>
      <c r="K27" s="378" t="s">
        <v>1092</v>
      </c>
      <c r="L27" s="356" t="s">
        <v>1110</v>
      </c>
      <c r="M27" s="378" t="s">
        <v>1103</v>
      </c>
      <c r="N27" s="551"/>
      <c r="O27" s="356"/>
      <c r="P27" s="356"/>
      <c r="Q27" s="356"/>
      <c r="R27" s="356"/>
      <c r="S27" s="356"/>
      <c r="T27" s="356"/>
      <c r="U27" s="356"/>
      <c r="V27" s="596" t="s">
        <v>1090</v>
      </c>
      <c r="W27" s="596" t="s">
        <v>1083</v>
      </c>
      <c r="X27" s="448" t="s">
        <v>1104</v>
      </c>
      <c r="Y27" s="449">
        <v>46220</v>
      </c>
      <c r="Z27" s="356" t="s">
        <v>1105</v>
      </c>
      <c r="AA27" s="356" t="s">
        <v>1105</v>
      </c>
      <c r="AB27" s="356" t="s">
        <v>1119</v>
      </c>
      <c r="AC27" s="378"/>
      <c r="AD27" s="605"/>
    </row>
    <row r="28" spans="1:43" ht="16.5">
      <c r="A28" s="438">
        <f>IF(B28="","",SUBTOTAL(3,$B$6:B28))</f>
        <v>20</v>
      </c>
      <c r="B28" s="352">
        <v>25028</v>
      </c>
      <c r="C28" s="356" t="str">
        <f>INDEX('6. data thông tin nhân sự'!C:C, MATCH('5. Theo dõi mail'!B28, '6. data thông tin nhân sự'!B:B,0))</f>
        <v>Nguyễn Phương Anh</v>
      </c>
      <c r="D28" s="356" t="str">
        <f>INDEX('6. data thông tin nhân sự'!D:D, MATCH('5. Theo dõi mail'!B28, '6. data thông tin nhân sự'!B:B,0))</f>
        <v>Chính thức</v>
      </c>
      <c r="E28" s="356" t="str">
        <f>INDEX('6. data thông tin nhân sự'!G:G, MATCH('5. Theo dõi mail'!B28, '6. data thông tin nhân sự'!B:B,0))</f>
        <v>Sự kiện - Event</v>
      </c>
      <c r="F28" s="356" t="str">
        <f>INDEX('6. data thông tin nhân sự'!H:H, MATCH('5. Theo dõi mail'!B28, '6. data thông tin nhân sự'!B:B,0))</f>
        <v>Event Executive</v>
      </c>
      <c r="G28" s="356" t="str">
        <f>INDEX('6. data thông tin nhân sự'!L:L, MATCH('5. Theo dõi mail'!B28, '6. data thông tin nhân sự'!B:B,0))</f>
        <v>anhnp1@newdaymedia.com.vn</v>
      </c>
      <c r="H28" s="374" t="str">
        <f>INDEX('6. data thông tin nhân sự'!N:N, MATCH('5. Theo dõi mail'!B28, '6. data thông tin nhân sự'!B:B,0))</f>
        <v>04/08/2025</v>
      </c>
      <c r="I28" s="379"/>
      <c r="J28" s="379"/>
      <c r="K28" s="378" t="s">
        <v>1092</v>
      </c>
      <c r="L28" s="356" t="s">
        <v>1110</v>
      </c>
      <c r="M28" s="378" t="s">
        <v>1103</v>
      </c>
      <c r="N28" s="551"/>
      <c r="O28" s="356"/>
      <c r="P28" s="356"/>
      <c r="Q28" s="356"/>
      <c r="R28" s="356"/>
      <c r="S28" s="356"/>
      <c r="T28" s="356"/>
      <c r="U28" s="356"/>
      <c r="V28" s="596" t="s">
        <v>1090</v>
      </c>
      <c r="W28" s="596" t="s">
        <v>1083</v>
      </c>
      <c r="X28" s="448" t="s">
        <v>1104</v>
      </c>
      <c r="Y28" s="449">
        <v>46220</v>
      </c>
      <c r="Z28" s="356" t="s">
        <v>1105</v>
      </c>
      <c r="AA28" s="356" t="s">
        <v>1105</v>
      </c>
      <c r="AB28" s="356" t="s">
        <v>1119</v>
      </c>
      <c r="AC28" s="378"/>
      <c r="AD28" s="605"/>
    </row>
    <row r="29" spans="1:43" ht="16.5">
      <c r="A29" s="438">
        <f>IF(B29="","",SUBTOTAL(3,$B$6:B29))</f>
        <v>21</v>
      </c>
      <c r="B29" s="352">
        <v>25030</v>
      </c>
      <c r="C29" s="356" t="str">
        <f>INDEX('6. data thông tin nhân sự'!C:C, MATCH('5. Theo dõi mail'!B29, '6. data thông tin nhân sự'!B:B,0))</f>
        <v>Hoàng Tuấn Anh</v>
      </c>
      <c r="D29" s="356" t="str">
        <f>INDEX('6. data thông tin nhân sự'!D:D, MATCH('5. Theo dõi mail'!B29, '6. data thông tin nhân sự'!B:B,0))</f>
        <v>Chính thức</v>
      </c>
      <c r="E29" s="356" t="str">
        <f>INDEX('6. data thông tin nhân sự'!G:G, MATCH('5. Theo dõi mail'!B29, '6. data thông tin nhân sự'!B:B,0))</f>
        <v>Sự kiện - Event</v>
      </c>
      <c r="F29" s="356" t="str">
        <f>INDEX('6. data thông tin nhân sự'!H:H, MATCH('5. Theo dõi mail'!B29, '6. data thông tin nhân sự'!B:B,0))</f>
        <v>Event Production Officer</v>
      </c>
      <c r="G29" s="356" t="str">
        <f>INDEX('6. data thông tin nhân sự'!L:L, MATCH('5. Theo dõi mail'!B29, '6. data thông tin nhân sự'!B:B,0))</f>
        <v>Anhht@newdaymedia.com.vn</v>
      </c>
      <c r="H29" s="374" t="str">
        <f>INDEX('6. data thông tin nhân sự'!N:N, MATCH('5. Theo dõi mail'!B29, '6. data thông tin nhân sự'!B:B,0))</f>
        <v>03/09/2025</v>
      </c>
      <c r="I29" s="379"/>
      <c r="J29" s="379"/>
      <c r="K29" s="378" t="s">
        <v>1092</v>
      </c>
      <c r="L29" s="356" t="s">
        <v>1110</v>
      </c>
      <c r="M29" s="378" t="s">
        <v>1103</v>
      </c>
      <c r="N29" s="551"/>
      <c r="O29" s="356"/>
      <c r="P29" s="356"/>
      <c r="Q29" s="356"/>
      <c r="R29" s="356"/>
      <c r="S29" s="356"/>
      <c r="T29" s="356"/>
      <c r="U29" s="356"/>
      <c r="V29" s="596" t="s">
        <v>1090</v>
      </c>
      <c r="W29" s="596" t="s">
        <v>1083</v>
      </c>
      <c r="X29" s="448" t="s">
        <v>1104</v>
      </c>
      <c r="Y29" s="449">
        <v>46220</v>
      </c>
      <c r="Z29" s="356" t="s">
        <v>1105</v>
      </c>
      <c r="AA29" s="356" t="s">
        <v>1105</v>
      </c>
      <c r="AB29" s="448" t="s">
        <v>1108</v>
      </c>
      <c r="AC29" s="378" t="s">
        <v>1120</v>
      </c>
      <c r="AD29" s="605"/>
    </row>
    <row r="30" spans="1:43" ht="16.5">
      <c r="A30" s="438">
        <f>IF(B30="","",SUBTOTAL(3,$B$6:B30))</f>
        <v>22</v>
      </c>
      <c r="B30" s="352">
        <v>26006</v>
      </c>
      <c r="C30" s="356" t="str">
        <f>INDEX('6. data thông tin nhân sự'!C:C, MATCH('5. Theo dõi mail'!B30, '6. data thông tin nhân sự'!B:B,0))</f>
        <v>Lê Thị Hồng Vân</v>
      </c>
      <c r="D30" s="356" t="str">
        <f>INDEX('6. data thông tin nhân sự'!D:D, MATCH('5. Theo dõi mail'!B30, '6. data thông tin nhân sự'!B:B,0))</f>
        <v>TTS</v>
      </c>
      <c r="E30" s="356" t="str">
        <f>INDEX('6. data thông tin nhân sự'!G:G, MATCH('5. Theo dõi mail'!B30, '6. data thông tin nhân sự'!B:B,0))</f>
        <v>Sự kiện - Event</v>
      </c>
      <c r="F30" s="356" t="str">
        <f>INDEX('6. data thông tin nhân sự'!H:H, MATCH('5. Theo dõi mail'!B30, '6. data thông tin nhân sự'!B:B,0))</f>
        <v xml:space="preserve">Event Intern </v>
      </c>
      <c r="G30" s="356" t="str">
        <f>INDEX('6. data thông tin nhân sự'!L:L, MATCH('5. Theo dõi mail'!B30, '6. data thông tin nhân sự'!B:B,0))</f>
        <v>Vanlth@newdaymedia.com.vn</v>
      </c>
      <c r="H30" s="374" t="str">
        <f>INDEX('6. data thông tin nhân sự'!N:N, MATCH('5. Theo dõi mail'!B30, '6. data thông tin nhân sự'!B:B,0))</f>
        <v>17/03/2026</v>
      </c>
      <c r="I30" s="379"/>
      <c r="J30" s="379"/>
      <c r="K30" s="378" t="s">
        <v>1092</v>
      </c>
      <c r="L30" s="356" t="s">
        <v>1110</v>
      </c>
      <c r="M30" s="378" t="s">
        <v>1103</v>
      </c>
      <c r="N30" s="551"/>
      <c r="O30" s="356"/>
      <c r="P30" s="356"/>
      <c r="Q30" s="356"/>
      <c r="R30" s="356"/>
      <c r="S30" s="356"/>
      <c r="T30" s="356"/>
      <c r="U30" s="356"/>
      <c r="V30" s="600" t="s">
        <v>1101</v>
      </c>
      <c r="W30" s="596" t="s">
        <v>1085</v>
      </c>
      <c r="X30" s="448" t="s">
        <v>1104</v>
      </c>
      <c r="Y30" s="449">
        <v>46225</v>
      </c>
      <c r="Z30" s="356" t="s">
        <v>1105</v>
      </c>
      <c r="AA30" s="356" t="s">
        <v>1105</v>
      </c>
      <c r="AB30" s="356" t="s">
        <v>1119</v>
      </c>
      <c r="AC30" s="378"/>
      <c r="AD30" s="605"/>
    </row>
    <row r="31" spans="1:43" ht="16.5">
      <c r="A31" s="438">
        <f>IF(B31="","",SUBTOTAL(3,$B$6:B31))</f>
        <v>23</v>
      </c>
      <c r="B31" s="352">
        <v>26013</v>
      </c>
      <c r="C31" s="356" t="str">
        <f>INDEX('6. data thông tin nhân sự'!C:C, MATCH('5. Theo dõi mail'!B31, '6. data thông tin nhân sự'!B:B,0))</f>
        <v>Nguyễn Sĩ Thạch</v>
      </c>
      <c r="D31" s="356" t="str">
        <f>INDEX('6. data thông tin nhân sự'!D:D, MATCH('5. Theo dõi mail'!B31, '6. data thông tin nhân sự'!B:B,0))</f>
        <v>TTS</v>
      </c>
      <c r="E31" s="356" t="str">
        <f>INDEX('6. data thông tin nhân sự'!G:G, MATCH('5. Theo dõi mail'!B31, '6. data thông tin nhân sự'!B:B,0))</f>
        <v>Sự kiện - Event</v>
      </c>
      <c r="F31" s="356" t="str">
        <f>INDEX('6. data thông tin nhân sự'!H:H, MATCH('5. Theo dõi mail'!B31, '6. data thông tin nhân sự'!B:B,0))</f>
        <v>Event Intern</v>
      </c>
      <c r="G31" s="356">
        <f>INDEX('6. data thông tin nhân sự'!L:L, MATCH('5. Theo dõi mail'!B31, '6. data thông tin nhân sự'!B:B,0))</f>
        <v>0</v>
      </c>
      <c r="H31" s="374" t="str">
        <f>INDEX('6. data thông tin nhân sự'!N:N, MATCH('5. Theo dõi mail'!B31, '6. data thông tin nhân sự'!B:B,0))</f>
        <v>04/06/2026</v>
      </c>
      <c r="I31" s="379"/>
      <c r="J31" s="379"/>
      <c r="K31" s="378"/>
      <c r="L31" s="356"/>
      <c r="M31" s="378"/>
      <c r="N31" s="551"/>
      <c r="O31" s="378"/>
      <c r="P31" s="378"/>
      <c r="Q31" s="378"/>
      <c r="R31" s="378"/>
      <c r="S31" s="378"/>
      <c r="T31" s="378"/>
      <c r="U31" s="378"/>
      <c r="V31" s="599" t="s">
        <v>1107</v>
      </c>
      <c r="W31" s="595" t="s">
        <v>1084</v>
      </c>
      <c r="X31" s="448" t="s">
        <v>1104</v>
      </c>
      <c r="Y31" s="449">
        <v>46225</v>
      </c>
      <c r="Z31" s="356" t="s">
        <v>1105</v>
      </c>
      <c r="AA31" s="356" t="s">
        <v>1105</v>
      </c>
      <c r="AB31" s="448" t="s">
        <v>1108</v>
      </c>
      <c r="AC31" s="378"/>
      <c r="AD31" s="605"/>
    </row>
    <row r="32" spans="1:43" ht="15">
      <c r="A32" s="353" t="s">
        <v>1121</v>
      </c>
      <c r="B32" s="354"/>
      <c r="C32" s="354"/>
      <c r="D32" s="354"/>
      <c r="E32" s="354"/>
      <c r="F32" s="354"/>
      <c r="G32" s="354"/>
      <c r="H32" s="408"/>
      <c r="I32" s="408"/>
      <c r="J32" s="408"/>
      <c r="K32" s="354"/>
      <c r="L32" s="441"/>
      <c r="M32" s="441"/>
      <c r="N32" s="550"/>
      <c r="O32" s="441"/>
      <c r="P32" s="441"/>
      <c r="Q32" s="441"/>
      <c r="R32" s="441"/>
      <c r="S32" s="441"/>
      <c r="T32" s="441"/>
      <c r="U32" s="441"/>
      <c r="V32" s="597"/>
      <c r="W32" s="597"/>
      <c r="X32" s="441"/>
      <c r="Y32" s="441"/>
      <c r="Z32" s="441"/>
      <c r="AA32" s="441"/>
      <c r="AB32" s="441"/>
      <c r="AC32" s="602"/>
      <c r="AD32" s="604"/>
    </row>
    <row r="33" spans="1:30" ht="16.5">
      <c r="A33" s="438">
        <f>IF(B33="","",SUBTOTAL(3,$B$6:B33))</f>
        <v>24</v>
      </c>
      <c r="B33" s="355">
        <v>20003</v>
      </c>
      <c r="C33" s="356" t="str">
        <f>INDEX('6. data thông tin nhân sự'!C:C, MATCH('5. Theo dõi mail'!B33, '6. data thông tin nhân sự'!B:B,0))</f>
        <v>Nguyễn Mạnh Hoàng</v>
      </c>
      <c r="D33" s="356" t="str">
        <f>INDEX('6. data thông tin nhân sự'!D:D, MATCH('5. Theo dõi mail'!B33, '6. data thông tin nhân sự'!B:B,0))</f>
        <v>Chính thức</v>
      </c>
      <c r="E33" s="356" t="str">
        <f>INDEX('6. data thông tin nhân sự'!G:G, MATCH('5. Theo dõi mail'!B33, '6. data thông tin nhân sự'!B:B,0))</f>
        <v>Sáng tạo - Creative</v>
      </c>
      <c r="F33" s="356" t="str">
        <f>INDEX('6. data thông tin nhân sự'!H:H, MATCH('5. Theo dõi mail'!B33, '6. data thông tin nhân sự'!B:B,0))</f>
        <v xml:space="preserve"> Creative Manager </v>
      </c>
      <c r="G33" s="356" t="str">
        <f>INDEX('6. data thông tin nhân sự'!L:L, MATCH('5. Theo dõi mail'!B33, '6. data thông tin nhân sự'!B:B,0))</f>
        <v>hoangnh@newdaymedia.com.vn</v>
      </c>
      <c r="H33" s="374" t="str">
        <f>INDEX('6. data thông tin nhân sự'!N:N, MATCH('5. Theo dõi mail'!B33, '6. data thông tin nhân sự'!B:B,0))</f>
        <v>30/09/2020</v>
      </c>
      <c r="I33" s="379"/>
      <c r="J33" s="379"/>
      <c r="K33" s="378" t="s">
        <v>1092</v>
      </c>
      <c r="L33" s="356" t="s">
        <v>1110</v>
      </c>
      <c r="M33" s="378" t="s">
        <v>1103</v>
      </c>
      <c r="N33" s="551"/>
      <c r="O33" s="542"/>
      <c r="P33" s="542"/>
      <c r="Q33" s="356"/>
      <c r="R33" s="356"/>
      <c r="S33" s="356"/>
      <c r="T33" s="542"/>
      <c r="U33" s="356"/>
      <c r="V33" s="596" t="s">
        <v>1099</v>
      </c>
      <c r="W33" s="595" t="s">
        <v>1084</v>
      </c>
      <c r="X33" s="448" t="s">
        <v>1104</v>
      </c>
      <c r="Y33" s="449">
        <v>46225</v>
      </c>
      <c r="Z33" s="356" t="s">
        <v>1105</v>
      </c>
      <c r="AA33" s="356" t="s">
        <v>1105</v>
      </c>
      <c r="AB33" s="356" t="s">
        <v>1119</v>
      </c>
      <c r="AC33" s="378"/>
      <c r="AD33" s="605"/>
    </row>
    <row r="34" spans="1:30" ht="16.5">
      <c r="A34" s="438">
        <f>IF(B34="","",SUBTOTAL(3,$B$6:B34))</f>
        <v>25</v>
      </c>
      <c r="B34" s="355">
        <v>21003</v>
      </c>
      <c r="C34" s="356" t="str">
        <f>INDEX('6. data thông tin nhân sự'!C:C, MATCH('5. Theo dõi mail'!B34, '6. data thông tin nhân sự'!B:B,0))</f>
        <v>Đặng Đức Hoàng</v>
      </c>
      <c r="D34" s="356" t="str">
        <f>INDEX('6. data thông tin nhân sự'!D:D, MATCH('5. Theo dõi mail'!B34, '6. data thông tin nhân sự'!B:B,0))</f>
        <v>Chính thức</v>
      </c>
      <c r="E34" s="356" t="str">
        <f>INDEX('6. data thông tin nhân sự'!G:G, MATCH('5. Theo dõi mail'!B34, '6. data thông tin nhân sự'!B:B,0))</f>
        <v>Sáng tạo - Creative</v>
      </c>
      <c r="F34" s="356" t="str">
        <f>INDEX('6. data thông tin nhân sự'!H:H, MATCH('5. Theo dõi mail'!B34, '6. data thông tin nhân sự'!B:B,0))</f>
        <v>Creative Team leader</v>
      </c>
      <c r="G34" s="356" t="str">
        <f>INDEX('6. data thông tin nhân sự'!L:L, MATCH('5. Theo dõi mail'!B34, '6. data thông tin nhân sự'!B:B,0))</f>
        <v>duchoang@newdaymedia.com.vn</v>
      </c>
      <c r="H34" s="374" t="str">
        <f>INDEX('6. data thông tin nhân sự'!N:N, MATCH('5. Theo dõi mail'!B34, '6. data thông tin nhân sự'!B:B,0))</f>
        <v>19/05/2021</v>
      </c>
      <c r="I34" s="379"/>
      <c r="J34" s="379"/>
      <c r="K34" s="378" t="s">
        <v>1092</v>
      </c>
      <c r="L34" s="356" t="s">
        <v>1110</v>
      </c>
      <c r="M34" s="378" t="s">
        <v>1103</v>
      </c>
      <c r="N34" s="547"/>
      <c r="O34" s="521" t="s">
        <v>1095</v>
      </c>
      <c r="P34" s="378"/>
      <c r="Q34" s="378"/>
      <c r="R34" s="521" t="s">
        <v>1095</v>
      </c>
      <c r="S34" s="521" t="s">
        <v>1095</v>
      </c>
      <c r="T34" s="521" t="s">
        <v>1095</v>
      </c>
      <c r="U34" s="378"/>
      <c r="V34" s="598" t="s">
        <v>1122</v>
      </c>
      <c r="W34" s="596" t="s">
        <v>1085</v>
      </c>
      <c r="X34" s="448" t="s">
        <v>1104</v>
      </c>
      <c r="Y34" s="449">
        <v>46232</v>
      </c>
      <c r="Z34" s="356" t="s">
        <v>1123</v>
      </c>
      <c r="AA34" s="356" t="s">
        <v>1123</v>
      </c>
      <c r="AB34" s="356" t="s">
        <v>1124</v>
      </c>
      <c r="AC34" s="378"/>
      <c r="AD34" s="605"/>
    </row>
    <row r="35" spans="1:30" ht="16.5">
      <c r="A35" s="438">
        <f>IF(B35="","",SUBTOTAL(3,$B$6:B35))</f>
        <v>26</v>
      </c>
      <c r="B35" s="355">
        <v>24003</v>
      </c>
      <c r="C35" s="356" t="str">
        <f>INDEX('6. data thông tin nhân sự'!C:C, MATCH('5. Theo dõi mail'!B35, '6. data thông tin nhân sự'!B:B,0))</f>
        <v>Nguyễn Thị Hà Giang</v>
      </c>
      <c r="D35" s="356" t="str">
        <f>INDEX('6. data thông tin nhân sự'!D:D, MATCH('5. Theo dõi mail'!B35, '6. data thông tin nhân sự'!B:B,0))</f>
        <v>Chính thức</v>
      </c>
      <c r="E35" s="356" t="str">
        <f>INDEX('6. data thông tin nhân sự'!G:G, MATCH('5. Theo dõi mail'!B35, '6. data thông tin nhân sự'!B:B,0))</f>
        <v>Sáng tạo - Creative</v>
      </c>
      <c r="F35" s="356" t="str">
        <f>INDEX('6. data thông tin nhân sự'!H:H, MATCH('5. Theo dõi mail'!B35, '6. data thông tin nhân sự'!B:B,0))</f>
        <v>Creative Event Planner</v>
      </c>
      <c r="G35" s="356" t="str">
        <f>INDEX('6. data thông tin nhân sự'!L:L, MATCH('5. Theo dõi mail'!B35, '6. data thông tin nhân sự'!B:B,0))</f>
        <v>giangnth@newdaymedia.com.vn</v>
      </c>
      <c r="H35" s="374" t="str">
        <f>INDEX('6. data thông tin nhân sự'!N:N, MATCH('5. Theo dõi mail'!B35, '6. data thông tin nhân sự'!B:B,0))</f>
        <v>01/04/2024</v>
      </c>
      <c r="I35" s="379"/>
      <c r="J35" s="379"/>
      <c r="K35" s="378" t="s">
        <v>1092</v>
      </c>
      <c r="L35" s="356" t="s">
        <v>1110</v>
      </c>
      <c r="M35" s="378" t="s">
        <v>1103</v>
      </c>
      <c r="N35" s="551"/>
      <c r="O35" s="356"/>
      <c r="P35" s="356"/>
      <c r="Q35" s="356"/>
      <c r="R35" s="356"/>
      <c r="S35" s="356"/>
      <c r="T35" s="356"/>
      <c r="U35" s="356"/>
      <c r="V35" s="596" t="s">
        <v>1090</v>
      </c>
      <c r="W35" s="596" t="s">
        <v>1083</v>
      </c>
      <c r="X35" s="448" t="s">
        <v>1104</v>
      </c>
      <c r="Y35" s="449">
        <v>46220</v>
      </c>
      <c r="Z35" s="356" t="s">
        <v>1105</v>
      </c>
      <c r="AA35" s="356" t="s">
        <v>1105</v>
      </c>
      <c r="AB35" s="448" t="s">
        <v>1108</v>
      </c>
      <c r="AC35" s="378"/>
      <c r="AD35" s="605"/>
    </row>
    <row r="36" spans="1:30" ht="16.5">
      <c r="A36" s="438">
        <f>IF(B36="","",SUBTOTAL(3,$B$6:B36))</f>
        <v>27</v>
      </c>
      <c r="B36" s="355">
        <v>24005</v>
      </c>
      <c r="C36" s="356" t="str">
        <f>INDEX('6. data thông tin nhân sự'!C:C, MATCH('5. Theo dõi mail'!B36, '6. data thông tin nhân sự'!B:B,0))</f>
        <v>Nguyễn Hà Quỳnh Anh</v>
      </c>
      <c r="D36" s="356" t="str">
        <f>INDEX('6. data thông tin nhân sự'!D:D, MATCH('5. Theo dõi mail'!B36, '6. data thông tin nhân sự'!B:B,0))</f>
        <v>Chính thức</v>
      </c>
      <c r="E36" s="356" t="str">
        <f>INDEX('6. data thông tin nhân sự'!G:G, MATCH('5. Theo dõi mail'!B36, '6. data thông tin nhân sự'!B:B,0))</f>
        <v>Sáng tạo - Creative</v>
      </c>
      <c r="F36" s="356" t="str">
        <f>INDEX('6. data thông tin nhân sự'!H:H, MATCH('5. Theo dõi mail'!B36, '6. data thông tin nhân sự'!B:B,0))</f>
        <v>Creative Event Planner</v>
      </c>
      <c r="G36" s="356" t="str">
        <f>INDEX('6. data thông tin nhân sự'!L:L, MATCH('5. Theo dõi mail'!B36, '6. data thông tin nhân sự'!B:B,0))</f>
        <v>anhnhq@newdaymedia.com.vn</v>
      </c>
      <c r="H36" s="374" t="str">
        <f>INDEX('6. data thông tin nhân sự'!N:N, MATCH('5. Theo dõi mail'!B36, '6. data thông tin nhân sự'!B:B,0))</f>
        <v>01/08/2024</v>
      </c>
      <c r="I36" s="379"/>
      <c r="J36" s="379"/>
      <c r="K36" s="378" t="s">
        <v>1092</v>
      </c>
      <c r="L36" s="356" t="s">
        <v>1110</v>
      </c>
      <c r="M36" s="378" t="s">
        <v>1103</v>
      </c>
      <c r="N36" s="551"/>
      <c r="O36" s="378"/>
      <c r="P36" s="378"/>
      <c r="Q36" s="378"/>
      <c r="R36" s="378"/>
      <c r="S36" s="378"/>
      <c r="T36" s="378"/>
      <c r="U36" s="378"/>
      <c r="V36" s="599" t="s">
        <v>1107</v>
      </c>
      <c r="W36" s="595" t="s">
        <v>1084</v>
      </c>
      <c r="X36" s="356"/>
      <c r="Y36" s="356"/>
      <c r="Z36" s="356" t="s">
        <v>1125</v>
      </c>
      <c r="AA36" s="356" t="s">
        <v>1105</v>
      </c>
      <c r="AB36" s="356" t="s">
        <v>1124</v>
      </c>
      <c r="AC36" s="378"/>
      <c r="AD36" s="605"/>
    </row>
    <row r="37" spans="1:30" ht="16.5">
      <c r="A37" s="438">
        <f>IF(B37="","",SUBTOTAL(3,$B$6:B37))</f>
        <v>28</v>
      </c>
      <c r="B37" s="355">
        <v>25042</v>
      </c>
      <c r="C37" s="356" t="str">
        <f>INDEX('6. data thông tin nhân sự'!C:C, MATCH('5. Theo dõi mail'!B37, '6. data thông tin nhân sự'!B:B,0))</f>
        <v>Nguyễn Thị Thu Giang</v>
      </c>
      <c r="D37" s="356" t="str">
        <f>INDEX('6. data thông tin nhân sự'!D:D, MATCH('5. Theo dõi mail'!B37, '6. data thông tin nhân sự'!B:B,0))</f>
        <v>Chính thức</v>
      </c>
      <c r="E37" s="356" t="str">
        <f>INDEX('6. data thông tin nhân sự'!G:G, MATCH('5. Theo dõi mail'!B37, '6. data thông tin nhân sự'!B:B,0))</f>
        <v>Sáng tạo - Creative</v>
      </c>
      <c r="F37" s="356" t="str">
        <f>INDEX('6. data thông tin nhân sự'!H:H, MATCH('5. Theo dõi mail'!B37, '6. data thông tin nhân sự'!B:B,0))</f>
        <v>Creative Event Planner</v>
      </c>
      <c r="G37" s="356" t="str">
        <f>INDEX('6. data thông tin nhân sự'!L:L, MATCH('5. Theo dõi mail'!B37, '6. data thông tin nhân sự'!B:B,0))</f>
        <v>Giangnt@newdaymedia.com.vn</v>
      </c>
      <c r="H37" s="374" t="str">
        <f>INDEX('6. data thông tin nhân sự'!N:N, MATCH('5. Theo dõi mail'!B37, '6. data thông tin nhân sự'!B:B,0))</f>
        <v>01/12/2025</v>
      </c>
      <c r="I37" s="379"/>
      <c r="J37" s="379"/>
      <c r="K37" s="378" t="s">
        <v>1092</v>
      </c>
      <c r="L37" s="356" t="s">
        <v>1110</v>
      </c>
      <c r="M37" s="378" t="s">
        <v>1103</v>
      </c>
      <c r="N37" s="551"/>
      <c r="O37" s="356"/>
      <c r="P37" s="356"/>
      <c r="Q37" s="356"/>
      <c r="R37" s="356"/>
      <c r="S37" s="356"/>
      <c r="T37" s="356"/>
      <c r="U37" s="356"/>
      <c r="V37" s="596" t="s">
        <v>1099</v>
      </c>
      <c r="W37" s="595" t="s">
        <v>1084</v>
      </c>
      <c r="X37" s="448" t="s">
        <v>1104</v>
      </c>
      <c r="Y37" s="449">
        <v>46224</v>
      </c>
      <c r="Z37" s="356" t="s">
        <v>1105</v>
      </c>
      <c r="AA37" s="356" t="s">
        <v>1105</v>
      </c>
      <c r="AB37" s="448" t="s">
        <v>1108</v>
      </c>
      <c r="AC37" s="378"/>
      <c r="AD37" s="605"/>
    </row>
    <row r="38" spans="1:30" ht="16.5">
      <c r="A38" s="438">
        <f>IF(B38="","",SUBTOTAL(3,$B$6:B38))</f>
        <v>29</v>
      </c>
      <c r="B38" s="355">
        <v>26001</v>
      </c>
      <c r="C38" s="356" t="str">
        <f>INDEX('6. data thông tin nhân sự'!C:C, MATCH('5. Theo dõi mail'!B38, '6. data thông tin nhân sự'!B:B,0))</f>
        <v>Tô Hồng Đức</v>
      </c>
      <c r="D38" s="356" t="str">
        <f>INDEX('6. data thông tin nhân sự'!D:D, MATCH('5. Theo dõi mail'!B38, '6. data thông tin nhân sự'!B:B,0))</f>
        <v>Chính thức</v>
      </c>
      <c r="E38" s="356" t="str">
        <f>INDEX('6. data thông tin nhân sự'!G:G, MATCH('5. Theo dõi mail'!B38, '6. data thông tin nhân sự'!B:B,0))</f>
        <v>Sáng tạo - Creative</v>
      </c>
      <c r="F38" s="356" t="str">
        <f>INDEX('6. data thông tin nhân sự'!H:H, MATCH('5. Theo dõi mail'!B38, '6. data thông tin nhân sự'!B:B,0))</f>
        <v>Concept Artist</v>
      </c>
      <c r="G38" s="356" t="str">
        <f>INDEX('6. data thông tin nhân sự'!L:L, MATCH('5. Theo dõi mail'!B38, '6. data thông tin nhân sự'!B:B,0))</f>
        <v>Ducth@newdaymedia.com.vn</v>
      </c>
      <c r="H38" s="374" t="str">
        <f>INDEX('6. data thông tin nhân sự'!N:N, MATCH('5. Theo dõi mail'!B38, '6. data thông tin nhân sự'!B:B,0))</f>
        <v>05/01/2026</v>
      </c>
      <c r="I38" s="379"/>
      <c r="J38" s="379"/>
      <c r="K38" s="378" t="s">
        <v>1092</v>
      </c>
      <c r="L38" s="356" t="s">
        <v>1110</v>
      </c>
      <c r="M38" s="378" t="s">
        <v>1103</v>
      </c>
      <c r="N38" s="551"/>
      <c r="O38" s="356"/>
      <c r="P38" s="356"/>
      <c r="Q38" s="356"/>
      <c r="R38" s="356"/>
      <c r="S38" s="356"/>
      <c r="T38" s="356"/>
      <c r="U38" s="356"/>
      <c r="V38" s="596" t="s">
        <v>1090</v>
      </c>
      <c r="W38" s="596" t="s">
        <v>1083</v>
      </c>
      <c r="X38" s="448" t="s">
        <v>1104</v>
      </c>
      <c r="Y38" s="449">
        <v>46220</v>
      </c>
      <c r="Z38" s="356" t="s">
        <v>1105</v>
      </c>
      <c r="AA38" s="356" t="s">
        <v>1105</v>
      </c>
      <c r="AB38" s="356" t="s">
        <v>1119</v>
      </c>
      <c r="AC38" s="378"/>
      <c r="AD38" s="605"/>
    </row>
    <row r="39" spans="1:30" ht="16.5">
      <c r="A39" s="438">
        <f>IF(B39="","",SUBTOTAL(3,$B$6:B39))</f>
        <v>30</v>
      </c>
      <c r="B39" s="591">
        <v>26005</v>
      </c>
      <c r="C39" s="356" t="str">
        <f>INDEX('6. data thông tin nhân sự'!C:C, MATCH('5. Theo dõi mail'!B39, '6. data thông tin nhân sự'!B:B,0))</f>
        <v>Trần Thị Thanh Thùy</v>
      </c>
      <c r="D39" s="356" t="str">
        <f>INDEX('6. data thông tin nhân sự'!D:D, MATCH('5. Theo dõi mail'!B39, '6. data thông tin nhân sự'!B:B,0))</f>
        <v>Chính thức</v>
      </c>
      <c r="E39" s="356" t="str">
        <f>INDEX('6. data thông tin nhân sự'!G:G, MATCH('5. Theo dõi mail'!B39, '6. data thông tin nhân sự'!B:B,0))</f>
        <v>Sáng tạo - Creative</v>
      </c>
      <c r="F39" s="356" t="str">
        <f>INDEX('6. data thông tin nhân sự'!H:H, MATCH('5. Theo dõi mail'!B39, '6. data thông tin nhân sự'!B:B,0))</f>
        <v>Even Planner</v>
      </c>
      <c r="G39" s="356" t="str">
        <f>INDEX('6. data thông tin nhân sự'!L:L, MATCH('5. Theo dõi mail'!B39, '6. data thông tin nhân sự'!B:B,0))</f>
        <v>Thuyttt@newdaymedia.com.vn</v>
      </c>
      <c r="H39" s="374" t="str">
        <f>INDEX('6. data thông tin nhân sự'!N:N, MATCH('5. Theo dõi mail'!B39, '6. data thông tin nhân sự'!B:B,0))</f>
        <v>17/03/2026</v>
      </c>
      <c r="I39" s="379"/>
      <c r="J39" s="379"/>
      <c r="K39" s="378" t="s">
        <v>1092</v>
      </c>
      <c r="L39" s="356" t="s">
        <v>1110</v>
      </c>
      <c r="M39" s="378" t="s">
        <v>1103</v>
      </c>
      <c r="N39" s="551"/>
      <c r="O39" s="356"/>
      <c r="P39" s="356"/>
      <c r="Q39" s="356"/>
      <c r="R39" s="356"/>
      <c r="S39" s="356"/>
      <c r="T39" s="356"/>
      <c r="U39" s="356"/>
      <c r="V39" s="600" t="s">
        <v>1101</v>
      </c>
      <c r="W39" s="596" t="s">
        <v>1085</v>
      </c>
      <c r="X39" s="356"/>
      <c r="Y39" s="356"/>
      <c r="Z39" s="356" t="s">
        <v>1125</v>
      </c>
      <c r="AA39" s="356" t="s">
        <v>1105</v>
      </c>
      <c r="AB39" s="448" t="s">
        <v>1108</v>
      </c>
      <c r="AC39" s="378"/>
      <c r="AD39" s="605"/>
    </row>
    <row r="40" spans="1:30" ht="16.5">
      <c r="A40" s="438">
        <f>IF(B40="","",SUBTOTAL(3,$B$6:B40))</f>
        <v>31</v>
      </c>
      <c r="B40" s="591">
        <v>26023</v>
      </c>
      <c r="C40" s="356" t="str">
        <f>INDEX('6. data thông tin nhân sự'!C:C, MATCH('5. Theo dõi mail'!B40, '6. data thông tin nhân sự'!B:B,0))</f>
        <v>Lê Đức Minh</v>
      </c>
      <c r="D40" s="356" t="str">
        <f>INDEX('6. data thông tin nhân sự'!D:D, MATCH('5. Theo dõi mail'!B40, '6. data thông tin nhân sự'!B:B,0))</f>
        <v>Thử việc</v>
      </c>
      <c r="E40" s="356" t="str">
        <f>INDEX('6. data thông tin nhân sự'!G:G, MATCH('5. Theo dõi mail'!B40, '6. data thông tin nhân sự'!B:B,0))</f>
        <v>Sáng tạo - Creative</v>
      </c>
      <c r="F40" s="356" t="str">
        <f>INDEX('6. data thông tin nhân sự'!H:H, MATCH('5. Theo dõi mail'!B40, '6. data thông tin nhân sự'!B:B,0))</f>
        <v>Concept Artist</v>
      </c>
      <c r="G40" s="356" t="str">
        <f>INDEX('6. data thông tin nhân sự'!L:L, MATCH('5. Theo dõi mail'!B40, '6. data thông tin nhân sự'!B:B,0))</f>
        <v>Minhld@newdaymedia.com.vn</v>
      </c>
      <c r="H40" s="374" t="str">
        <f>INDEX('6. data thông tin nhân sự'!N:N, MATCH('5. Theo dõi mail'!B40, '6. data thông tin nhân sự'!B:B,0))</f>
        <v>03/08/2026</v>
      </c>
      <c r="I40" s="379"/>
      <c r="J40" s="379"/>
      <c r="K40" s="378" t="s">
        <v>1092</v>
      </c>
      <c r="L40" s="356" t="s">
        <v>1110</v>
      </c>
      <c r="M40" s="378" t="s">
        <v>1103</v>
      </c>
      <c r="N40" s="551"/>
      <c r="O40" s="356"/>
      <c r="P40" s="356"/>
      <c r="Q40" s="356"/>
      <c r="R40" s="356"/>
      <c r="S40" s="356"/>
      <c r="T40" s="356"/>
      <c r="U40" s="356"/>
      <c r="V40" s="596" t="s">
        <v>1090</v>
      </c>
      <c r="W40" s="596" t="s">
        <v>1083</v>
      </c>
      <c r="X40" s="448" t="s">
        <v>1104</v>
      </c>
      <c r="Y40" s="449">
        <v>46224</v>
      </c>
      <c r="Z40" s="356" t="s">
        <v>1105</v>
      </c>
      <c r="AA40" s="356" t="s">
        <v>1105</v>
      </c>
      <c r="AB40" s="356" t="s">
        <v>1119</v>
      </c>
      <c r="AC40" s="378"/>
      <c r="AD40" s="605"/>
    </row>
    <row r="41" spans="1:30" ht="15">
      <c r="A41" s="353" t="s">
        <v>1126</v>
      </c>
      <c r="B41" s="354"/>
      <c r="C41" s="354"/>
      <c r="D41" s="354"/>
      <c r="E41" s="354"/>
      <c r="F41" s="354"/>
      <c r="G41" s="354"/>
      <c r="H41" s="408"/>
      <c r="I41" s="408"/>
      <c r="J41" s="408"/>
      <c r="K41" s="354"/>
      <c r="L41" s="441"/>
      <c r="M41" s="441"/>
      <c r="N41" s="550"/>
      <c r="O41" s="441"/>
      <c r="P41" s="441"/>
      <c r="Q41" s="441"/>
      <c r="R41" s="441"/>
      <c r="S41" s="441"/>
      <c r="T41" s="441"/>
      <c r="U41" s="441"/>
      <c r="V41" s="597"/>
      <c r="W41" s="597"/>
      <c r="X41" s="441"/>
      <c r="Y41" s="441"/>
      <c r="Z41" s="441"/>
      <c r="AA41" s="441"/>
      <c r="AB41" s="441"/>
      <c r="AC41" s="602"/>
      <c r="AD41" s="604"/>
    </row>
    <row r="42" spans="1:30" ht="16.5">
      <c r="A42" s="438">
        <f>IF(B42="","",SUBTOTAL(3,$B$6:B42))</f>
        <v>32</v>
      </c>
      <c r="B42" s="355">
        <v>20002</v>
      </c>
      <c r="C42" s="356" t="str">
        <f>INDEX('6. data thông tin nhân sự'!C:C, MATCH('5. Theo dõi mail'!B42, '6. data thông tin nhân sự'!B:B,0))</f>
        <v>Đào Thị Thùy</v>
      </c>
      <c r="D42" s="356" t="str">
        <f>INDEX('6. data thông tin nhân sự'!D:D, MATCH('5. Theo dõi mail'!B42, '6. data thông tin nhân sự'!B:B,0))</f>
        <v>Chính thức</v>
      </c>
      <c r="E42" s="356" t="str">
        <f>INDEX('6. data thông tin nhân sự'!G:G, MATCH('5. Theo dõi mail'!B42, '6. data thông tin nhân sự'!B:B,0))</f>
        <v>Truyền thông - Marketing</v>
      </c>
      <c r="F42" s="356" t="str">
        <f>INDEX('6. data thông tin nhân sự'!H:H, MATCH('5. Theo dõi mail'!B42, '6. data thông tin nhân sự'!B:B,0))</f>
        <v>Deputy Marketing Manager</v>
      </c>
      <c r="G42" s="356" t="str">
        <f>INDEX('6. data thông tin nhân sự'!L:L, MATCH('5. Theo dõi mail'!B42, '6. data thông tin nhân sự'!B:B,0))</f>
        <v>daothuy@newdaymedia.com.vn</v>
      </c>
      <c r="H42" s="374" t="str">
        <f>INDEX('6. data thông tin nhân sự'!N:N, MATCH('5. Theo dõi mail'!B42, '6. data thông tin nhân sự'!B:B,0))</f>
        <v>25/05/2020</v>
      </c>
      <c r="I42" s="379"/>
      <c r="J42" s="379"/>
      <c r="K42" s="378" t="s">
        <v>1092</v>
      </c>
      <c r="L42" s="356" t="s">
        <v>1098</v>
      </c>
      <c r="M42" s="356"/>
      <c r="N42" s="549"/>
      <c r="O42" s="356"/>
      <c r="P42" s="356"/>
      <c r="Q42" s="356"/>
      <c r="R42" s="356"/>
      <c r="S42" s="356"/>
      <c r="T42" s="356"/>
      <c r="U42" s="356"/>
      <c r="V42" s="596" t="s">
        <v>1090</v>
      </c>
      <c r="W42" s="596" t="s">
        <v>1083</v>
      </c>
      <c r="X42" s="448" t="s">
        <v>1104</v>
      </c>
      <c r="Y42" s="449">
        <v>46219</v>
      </c>
      <c r="Z42" s="356" t="s">
        <v>1105</v>
      </c>
      <c r="AA42" s="356" t="s">
        <v>1105</v>
      </c>
      <c r="AB42" s="356" t="s">
        <v>1119</v>
      </c>
      <c r="AC42" s="378"/>
      <c r="AD42" s="605"/>
    </row>
    <row r="43" spans="1:30" ht="16.5">
      <c r="A43" s="438">
        <f>IF(B43="","",SUBTOTAL(3,$B$6:B43))</f>
        <v>33</v>
      </c>
      <c r="B43" s="355">
        <v>22002</v>
      </c>
      <c r="C43" s="356" t="str">
        <f>INDEX('6. data thông tin nhân sự'!C:C, MATCH('5. Theo dõi mail'!B43, '6. data thông tin nhân sự'!B:B,0))</f>
        <v>Ngô Khánh Vi</v>
      </c>
      <c r="D43" s="356" t="str">
        <f>INDEX('6. data thông tin nhân sự'!D:D, MATCH('5. Theo dõi mail'!B43, '6. data thông tin nhân sự'!B:B,0))</f>
        <v>Chính thức</v>
      </c>
      <c r="E43" s="356" t="str">
        <f>INDEX('6. data thông tin nhân sự'!G:G, MATCH('5. Theo dõi mail'!B43, '6. data thông tin nhân sự'!B:B,0))</f>
        <v>Truyền thông - Marketing</v>
      </c>
      <c r="F43" s="356" t="str">
        <f>INDEX('6. data thông tin nhân sự'!H:H, MATCH('5. Theo dõi mail'!B43, '6. data thông tin nhân sự'!B:B,0))</f>
        <v>Content Marketing Lead</v>
      </c>
      <c r="G43" s="356" t="str">
        <f>INDEX('6. data thông tin nhân sự'!L:L, MATCH('5. Theo dõi mail'!B43, '6. data thông tin nhân sự'!B:B,0))</f>
        <v>vink@newdaymedia.com.vn</v>
      </c>
      <c r="H43" s="374" t="str">
        <f>INDEX('6. data thông tin nhân sự'!N:N, MATCH('5. Theo dõi mail'!B43, '6. data thông tin nhân sự'!B:B,0))</f>
        <v>09/05/2022</v>
      </c>
      <c r="I43" s="379"/>
      <c r="J43" s="379"/>
      <c r="K43" s="378" t="s">
        <v>1092</v>
      </c>
      <c r="L43" s="356" t="s">
        <v>1098</v>
      </c>
      <c r="M43" s="356"/>
      <c r="N43" s="549"/>
      <c r="O43" s="356"/>
      <c r="P43" s="356"/>
      <c r="Q43" s="356"/>
      <c r="R43" s="356"/>
      <c r="S43" s="356"/>
      <c r="T43" s="356"/>
      <c r="U43" s="356"/>
      <c r="V43" s="596" t="s">
        <v>1090</v>
      </c>
      <c r="W43" s="596" t="s">
        <v>1083</v>
      </c>
      <c r="X43" s="448" t="s">
        <v>1104</v>
      </c>
      <c r="Y43" s="449">
        <v>46219</v>
      </c>
      <c r="Z43" s="356" t="s">
        <v>1105</v>
      </c>
      <c r="AA43" s="356" t="s">
        <v>1105</v>
      </c>
      <c r="AB43" s="356" t="s">
        <v>1119</v>
      </c>
      <c r="AC43" s="378"/>
      <c r="AD43" s="605"/>
    </row>
    <row r="44" spans="1:30" s="338" customFormat="1" ht="16.5">
      <c r="A44" s="438">
        <f>IF(B44="","",SUBTOTAL(3,$B$6:B44))</f>
        <v>34</v>
      </c>
      <c r="B44" s="355">
        <v>25003</v>
      </c>
      <c r="C44" s="356" t="str">
        <f>INDEX('6. data thông tin nhân sự'!C:C, MATCH('5. Theo dõi mail'!B44, '6. data thông tin nhân sự'!B:B,0))</f>
        <v>Nguyễn Thảo Vy</v>
      </c>
      <c r="D44" s="356" t="str">
        <f>INDEX('6. data thông tin nhân sự'!D:D, MATCH('5. Theo dõi mail'!B44, '6. data thông tin nhân sự'!B:B,0))</f>
        <v>Chính thức</v>
      </c>
      <c r="E44" s="356" t="str">
        <f>INDEX('6. data thông tin nhân sự'!G:G, MATCH('5. Theo dõi mail'!B44, '6. data thông tin nhân sự'!B:B,0))</f>
        <v>Truyền thông - Marketing</v>
      </c>
      <c r="F44" s="356" t="str">
        <f>INDEX('6. data thông tin nhân sự'!H:H, MATCH('5. Theo dõi mail'!B44, '6. data thông tin nhân sự'!B:B,0))</f>
        <v>Marketing Executive</v>
      </c>
      <c r="G44" s="356" t="str">
        <f>INDEX('6. data thông tin nhân sự'!L:L, MATCH('5. Theo dõi mail'!B44, '6. data thông tin nhân sự'!B:B,0))</f>
        <v>vynt@newdaymedia.com.vn</v>
      </c>
      <c r="H44" s="374" t="str">
        <f>INDEX('6. data thông tin nhân sự'!N:N, MATCH('5. Theo dõi mail'!B44, '6. data thông tin nhân sự'!B:B,0))</f>
        <v>25/02/2025</v>
      </c>
      <c r="I44" s="379"/>
      <c r="J44" s="379"/>
      <c r="K44" s="378" t="s">
        <v>1092</v>
      </c>
      <c r="L44" s="356" t="s">
        <v>1098</v>
      </c>
      <c r="M44" s="356"/>
      <c r="N44" s="549"/>
      <c r="O44" s="356"/>
      <c r="P44" s="356"/>
      <c r="Q44" s="356"/>
      <c r="R44" s="356"/>
      <c r="S44" s="356"/>
      <c r="T44" s="356"/>
      <c r="U44" s="356"/>
      <c r="V44" s="600" t="s">
        <v>1101</v>
      </c>
      <c r="W44" s="596" t="s">
        <v>1085</v>
      </c>
      <c r="X44" s="448" t="s">
        <v>1104</v>
      </c>
      <c r="Y44" s="449">
        <v>46224</v>
      </c>
      <c r="Z44" s="356" t="s">
        <v>1105</v>
      </c>
      <c r="AA44" s="356" t="s">
        <v>1105</v>
      </c>
      <c r="AB44" s="356" t="s">
        <v>1119</v>
      </c>
      <c r="AC44" s="378"/>
      <c r="AD44" s="605"/>
    </row>
    <row r="45" spans="1:30" s="338" customFormat="1" ht="16.5">
      <c r="A45" s="438">
        <f>IF(B45="","",SUBTOTAL(3,$B$6:B45))</f>
        <v>35</v>
      </c>
      <c r="B45" s="355">
        <v>26019</v>
      </c>
      <c r="C45" s="356" t="str">
        <f>INDEX('6. data thông tin nhân sự'!C:C, MATCH('5. Theo dõi mail'!B45, '6. data thông tin nhân sự'!B:B,0))</f>
        <v>Vũ Thị Bích Ngọc</v>
      </c>
      <c r="D45" s="356" t="str">
        <f>INDEX('6. data thông tin nhân sự'!D:D, MATCH('5. Theo dõi mail'!B45, '6. data thông tin nhân sự'!B:B,0))</f>
        <v>Chính thức</v>
      </c>
      <c r="E45" s="356" t="str">
        <f>INDEX('6. data thông tin nhân sự'!G:G, MATCH('5. Theo dõi mail'!B45, '6. data thông tin nhân sự'!B:B,0))</f>
        <v>Truyền thông - Marketing</v>
      </c>
      <c r="F45" s="356" t="str">
        <f>INDEX('6. data thông tin nhân sự'!H:H, MATCH('5. Theo dõi mail'!B45, '6. data thông tin nhân sự'!B:B,0))</f>
        <v>Marketing Executive</v>
      </c>
      <c r="G45" s="356" t="str">
        <f>INDEX('6. data thông tin nhân sự'!L:L, MATCH('5. Theo dõi mail'!B45, '6. data thông tin nhân sự'!B:B,0))</f>
        <v>Ngocvtb@newdaymedia.com.vn</v>
      </c>
      <c r="H45" s="374" t="str">
        <f>INDEX('6. data thông tin nhân sự'!N:N, MATCH('5. Theo dõi mail'!B45, '6. data thông tin nhân sự'!B:B,0))</f>
        <v>18/06/2026</v>
      </c>
      <c r="I45" s="379"/>
      <c r="J45" s="379"/>
      <c r="K45" s="378" t="s">
        <v>1092</v>
      </c>
      <c r="L45" s="356" t="s">
        <v>1098</v>
      </c>
      <c r="M45" s="356"/>
      <c r="N45" s="549"/>
      <c r="O45" s="356"/>
      <c r="P45" s="356"/>
      <c r="Q45" s="356"/>
      <c r="R45" s="356"/>
      <c r="S45" s="356"/>
      <c r="T45" s="356"/>
      <c r="U45" s="356"/>
      <c r="V45" s="596" t="s">
        <v>1097</v>
      </c>
      <c r="W45" s="595" t="s">
        <v>1084</v>
      </c>
      <c r="X45" s="448" t="s">
        <v>1104</v>
      </c>
      <c r="Y45" s="449">
        <v>46219</v>
      </c>
      <c r="Z45" s="356" t="s">
        <v>1105</v>
      </c>
      <c r="AA45" s="356" t="s">
        <v>1105</v>
      </c>
      <c r="AB45" s="356" t="s">
        <v>1119</v>
      </c>
      <c r="AC45" s="378"/>
      <c r="AD45" s="605"/>
    </row>
    <row r="46" spans="1:30" s="338" customFormat="1" ht="16.5">
      <c r="A46" s="438">
        <f>IF(B46="","",SUBTOTAL(3,$B$6:B46))</f>
        <v>36</v>
      </c>
      <c r="B46" s="355">
        <v>26021</v>
      </c>
      <c r="C46" s="356" t="str">
        <f>INDEX('6. data thông tin nhân sự'!C:C, MATCH('5. Theo dõi mail'!B46, '6. data thông tin nhân sự'!B:B,0))</f>
        <v>Đào Gia Linh</v>
      </c>
      <c r="D46" s="356" t="str">
        <f>INDEX('6. data thông tin nhân sự'!D:D, MATCH('5. Theo dõi mail'!B46, '6. data thông tin nhân sự'!B:B,0))</f>
        <v>TTS</v>
      </c>
      <c r="E46" s="356" t="str">
        <f>INDEX('6. data thông tin nhân sự'!G:G, MATCH('5. Theo dõi mail'!B46, '6. data thông tin nhân sự'!B:B,0))</f>
        <v>Truyền thông - Marketing</v>
      </c>
      <c r="F46" s="356" t="str">
        <f>INDEX('6. data thông tin nhân sự'!H:H, MATCH('5. Theo dõi mail'!B46, '6. data thông tin nhân sự'!B:B,0))</f>
        <v>Marketing Intern</v>
      </c>
      <c r="G46" s="356" t="str">
        <f>INDEX('6. data thông tin nhân sự'!L:L, MATCH('5. Theo dõi mail'!B46, '6. data thông tin nhân sự'!B:B,0))</f>
        <v>Linhdg@newdaymedia.com.vn</v>
      </c>
      <c r="H46" s="374" t="str">
        <f>INDEX('6. data thông tin nhân sự'!N:N, MATCH('5. Theo dõi mail'!B46, '6. data thông tin nhân sự'!B:B,0))</f>
        <v>29/06/2026</v>
      </c>
      <c r="I46" s="379"/>
      <c r="J46" s="379"/>
      <c r="K46" s="378" t="s">
        <v>1092</v>
      </c>
      <c r="L46" s="356" t="s">
        <v>1098</v>
      </c>
      <c r="M46" s="356"/>
      <c r="N46" s="549"/>
      <c r="O46" s="356"/>
      <c r="P46" s="356"/>
      <c r="Q46" s="356"/>
      <c r="R46" s="356"/>
      <c r="S46" s="356"/>
      <c r="T46" s="356"/>
      <c r="U46" s="356"/>
      <c r="V46" s="600" t="s">
        <v>1101</v>
      </c>
      <c r="W46" s="596" t="s">
        <v>1085</v>
      </c>
      <c r="X46" s="448" t="s">
        <v>1104</v>
      </c>
      <c r="Y46" s="449">
        <v>46224</v>
      </c>
      <c r="Z46" s="356" t="s">
        <v>1105</v>
      </c>
      <c r="AA46" s="356" t="s">
        <v>1105</v>
      </c>
      <c r="AB46" s="356" t="s">
        <v>1119</v>
      </c>
      <c r="AC46" s="378"/>
      <c r="AD46" s="605"/>
    </row>
    <row r="47" spans="1:30" s="338" customFormat="1" ht="15">
      <c r="A47" s="353" t="s">
        <v>1127</v>
      </c>
      <c r="B47" s="354"/>
      <c r="C47" s="354"/>
      <c r="D47" s="354"/>
      <c r="E47" s="354"/>
      <c r="F47" s="354"/>
      <c r="G47" s="354"/>
      <c r="H47" s="408"/>
      <c r="I47" s="408"/>
      <c r="J47" s="408"/>
      <c r="K47" s="354"/>
      <c r="L47" s="441"/>
      <c r="M47" s="441"/>
      <c r="N47" s="550"/>
      <c r="O47" s="441"/>
      <c r="P47" s="441"/>
      <c r="Q47" s="441"/>
      <c r="R47" s="441"/>
      <c r="S47" s="441"/>
      <c r="T47" s="441"/>
      <c r="U47" s="441"/>
      <c r="V47" s="597"/>
      <c r="W47" s="597"/>
      <c r="X47" s="441"/>
      <c r="Y47" s="441"/>
      <c r="Z47" s="441"/>
      <c r="AA47" s="441"/>
      <c r="AB47" s="441"/>
      <c r="AC47" s="602"/>
      <c r="AD47" s="604"/>
    </row>
    <row r="48" spans="1:30" ht="16.5">
      <c r="A48" s="438">
        <f>IF(B48="","",SUBTOTAL(3,$B$6:B48))</f>
        <v>37</v>
      </c>
      <c r="B48" s="355">
        <v>26026</v>
      </c>
      <c r="C48" s="356" t="str">
        <f>INDEX('6. data thông tin nhân sự'!C:C, MATCH('5. Theo dõi mail'!B48, '6. data thông tin nhân sự'!B:B,0))</f>
        <v>Nguyễn Thị Huyền</v>
      </c>
      <c r="D48" s="356" t="str">
        <f>INDEX('6. data thông tin nhân sự'!D:D, MATCH('5. Theo dõi mail'!B48, '6. data thông tin nhân sự'!B:B,0))</f>
        <v>Thử việc</v>
      </c>
      <c r="E48" s="356" t="str">
        <f>INDEX('6. data thông tin nhân sự'!G:G, MATCH('5. Theo dõi mail'!B48, '6. data thông tin nhân sự'!B:B,0))</f>
        <v>Sản xuất Video - Video Prodution</v>
      </c>
      <c r="F48" s="356" t="str">
        <f>INDEX('6. data thông tin nhân sự'!H:H, MATCH('5. Theo dõi mail'!B48, '6. data thông tin nhân sự'!B:B,0))</f>
        <v>Video Production Manager</v>
      </c>
      <c r="G48" s="356" t="str">
        <f>INDEX('6. data thông tin nhân sự'!L:L, MATCH('5. Theo dõi mail'!B48, '6. data thông tin nhân sự'!B:B,0))</f>
        <v>Huyennt1@newdaymedia.com.vn</v>
      </c>
      <c r="H48" s="374" t="str">
        <f>INDEX('6. data thông tin nhân sự'!N:N, MATCH('5. Theo dõi mail'!B48, '6. data thông tin nhân sự'!B:B,0))</f>
        <v>10/08/2026</v>
      </c>
      <c r="I48" s="379"/>
      <c r="J48" s="379"/>
      <c r="K48" s="378" t="s">
        <v>1092</v>
      </c>
      <c r="L48" s="356" t="s">
        <v>1110</v>
      </c>
      <c r="M48" s="378" t="s">
        <v>1103</v>
      </c>
      <c r="N48" s="551"/>
      <c r="O48" s="356"/>
      <c r="P48" s="356"/>
      <c r="Q48" s="356"/>
      <c r="R48" s="356"/>
      <c r="S48" s="356"/>
      <c r="T48" s="356"/>
      <c r="U48" s="356"/>
      <c r="V48" s="596" t="s">
        <v>1090</v>
      </c>
      <c r="W48" s="596" t="s">
        <v>1083</v>
      </c>
      <c r="X48" s="356"/>
      <c r="Y48" s="379"/>
      <c r="Z48" s="356"/>
      <c r="AA48" s="356"/>
      <c r="AB48" s="356" t="s">
        <v>1124</v>
      </c>
      <c r="AC48" s="378" t="s">
        <v>1128</v>
      </c>
      <c r="AD48" s="605"/>
    </row>
    <row r="49" spans="1:33" ht="16.5">
      <c r="A49" s="438">
        <f>IF(B49="","",SUBTOTAL(3,$B$6:B49))</f>
        <v>38</v>
      </c>
      <c r="B49" s="355">
        <v>22004</v>
      </c>
      <c r="C49" s="356" t="str">
        <f>INDEX('6. data thông tin nhân sự'!C:C, MATCH('5. Theo dõi mail'!B49, '6. data thông tin nhân sự'!B:B,0))</f>
        <v>Đào Thu Hà</v>
      </c>
      <c r="D49" s="356" t="str">
        <f>INDEX('6. data thông tin nhân sự'!D:D, MATCH('5. Theo dõi mail'!B49, '6. data thông tin nhân sự'!B:B,0))</f>
        <v>Chính thức</v>
      </c>
      <c r="E49" s="356" t="str">
        <f>INDEX('6. data thông tin nhân sự'!G:G, MATCH('5. Theo dõi mail'!B49, '6. data thông tin nhân sự'!B:B,0))</f>
        <v>Sản xuất Video - Video Prodution</v>
      </c>
      <c r="F49" s="356" t="str">
        <f>INDEX('6. data thông tin nhân sự'!H:H, MATCH('5. Theo dõi mail'!B49, '6. data thông tin nhân sự'!B:B,0))</f>
        <v>Script Editor Team Leader </v>
      </c>
      <c r="G49" s="356" t="str">
        <f>INDEX('6. data thông tin nhân sự'!L:L, MATCH('5. Theo dõi mail'!B49, '6. data thông tin nhân sự'!B:B,0))</f>
        <v>hadt@newdaymedia.com.vn</v>
      </c>
      <c r="H49" s="374" t="str">
        <f>INDEX('6. data thông tin nhân sự'!N:N, MATCH('5. Theo dõi mail'!B49, '6. data thông tin nhân sự'!B:B,0))</f>
        <v>10/11/2022</v>
      </c>
      <c r="I49" s="379"/>
      <c r="J49" s="379"/>
      <c r="K49" s="378" t="s">
        <v>1092</v>
      </c>
      <c r="L49" s="356" t="s">
        <v>1110</v>
      </c>
      <c r="M49" s="378" t="s">
        <v>1103</v>
      </c>
      <c r="N49" s="551"/>
      <c r="O49" s="356"/>
      <c r="P49" s="356"/>
      <c r="Q49" s="356"/>
      <c r="R49" s="356"/>
      <c r="S49" s="356"/>
      <c r="T49" s="356"/>
      <c r="U49" s="356"/>
      <c r="V49" s="600" t="s">
        <v>1101</v>
      </c>
      <c r="W49" s="596" t="s">
        <v>1085</v>
      </c>
      <c r="X49" s="356"/>
      <c r="Y49" s="379"/>
      <c r="Z49" s="356"/>
      <c r="AA49" s="356"/>
      <c r="AB49" s="356" t="s">
        <v>1124</v>
      </c>
      <c r="AC49" s="378" t="s">
        <v>1129</v>
      </c>
      <c r="AD49" s="605"/>
    </row>
    <row r="50" spans="1:33" ht="16.5">
      <c r="A50" s="438">
        <f>IF(B50="","",SUBTOTAL(3,$B$6:B50))</f>
        <v>39</v>
      </c>
      <c r="B50" s="355">
        <v>24004</v>
      </c>
      <c r="C50" s="356" t="str">
        <f>INDEX('6. data thông tin nhân sự'!C:C, MATCH('5. Theo dõi mail'!B50, '6. data thông tin nhân sự'!B:B,0))</f>
        <v>Vũ Anh Duy</v>
      </c>
      <c r="D50" s="356" t="str">
        <f>INDEX('6. data thông tin nhân sự'!D:D, MATCH('5. Theo dõi mail'!B50, '6. data thông tin nhân sự'!B:B,0))</f>
        <v>Chính thức</v>
      </c>
      <c r="E50" s="356" t="str">
        <f>INDEX('6. data thông tin nhân sự'!G:G, MATCH('5. Theo dõi mail'!B50, '6. data thông tin nhân sự'!B:B,0))</f>
        <v>Sản xuất Video - Video Prodution</v>
      </c>
      <c r="F50" s="356" t="str">
        <f>INDEX('6. data thông tin nhân sự'!H:H, MATCH('5. Theo dõi mail'!B50, '6. data thông tin nhân sự'!B:B,0))</f>
        <v>Visual Team Leader</v>
      </c>
      <c r="G50" s="356" t="str">
        <f>INDEX('6. data thông tin nhân sự'!L:L, MATCH('5. Theo dõi mail'!B50, '6. data thông tin nhân sự'!B:B,0))</f>
        <v>duyva@newdaymedia.com.vn</v>
      </c>
      <c r="H50" s="374" t="str">
        <f>INDEX('6. data thông tin nhân sự'!N:N, MATCH('5. Theo dõi mail'!B50, '6. data thông tin nhân sự'!B:B,0))</f>
        <v>04/04/2024</v>
      </c>
      <c r="I50" s="379"/>
      <c r="J50" s="379"/>
      <c r="K50" s="378" t="s">
        <v>1092</v>
      </c>
      <c r="L50" s="356" t="s">
        <v>1110</v>
      </c>
      <c r="M50" s="378" t="s">
        <v>1103</v>
      </c>
      <c r="N50" s="551"/>
      <c r="O50" s="356"/>
      <c r="P50" s="356"/>
      <c r="Q50" s="356"/>
      <c r="R50" s="356"/>
      <c r="S50" s="356"/>
      <c r="T50" s="356"/>
      <c r="U50" s="356"/>
      <c r="V50" s="596" t="s">
        <v>1090</v>
      </c>
      <c r="W50" s="596" t="s">
        <v>1083</v>
      </c>
      <c r="X50" s="356"/>
      <c r="Y50" s="356"/>
      <c r="Z50" s="356"/>
      <c r="AA50" s="356"/>
      <c r="AB50" s="448" t="s">
        <v>1108</v>
      </c>
      <c r="AC50" s="378"/>
      <c r="AD50" s="605"/>
      <c r="AF50" s="840"/>
      <c r="AG50" s="841"/>
    </row>
    <row r="51" spans="1:33" ht="16.5">
      <c r="A51" s="438">
        <f>IF(B51="","",SUBTOTAL(3,$B$6:B51))</f>
        <v>40</v>
      </c>
      <c r="B51" s="355">
        <v>25011</v>
      </c>
      <c r="C51" s="356" t="str">
        <f>INDEX('6. data thông tin nhân sự'!C:C, MATCH('5. Theo dõi mail'!B51, '6. data thông tin nhân sự'!B:B,0))</f>
        <v>Lê Công Hoàng</v>
      </c>
      <c r="D51" s="356" t="str">
        <f>INDEX('6. data thông tin nhân sự'!D:D, MATCH('5. Theo dõi mail'!B51, '6. data thông tin nhân sự'!B:B,0))</f>
        <v>Chính thức</v>
      </c>
      <c r="E51" s="356" t="str">
        <f>INDEX('6. data thông tin nhân sự'!G:G, MATCH('5. Theo dõi mail'!B51, '6. data thông tin nhân sự'!B:B,0))</f>
        <v>Sản xuất Video - Video Prodution</v>
      </c>
      <c r="F51" s="356" t="str">
        <f>INDEX('6. data thông tin nhân sự'!H:H, MATCH('5. Theo dõi mail'!B51, '6. data thông tin nhân sự'!B:B,0))</f>
        <v>Visual artist</v>
      </c>
      <c r="G51" s="356" t="str">
        <f>INDEX('6. data thông tin nhân sự'!L:L, MATCH('5. Theo dõi mail'!B51, '6. data thông tin nhân sự'!B:B,0))</f>
        <v>hoanglc@newdaymedia.com.vn</v>
      </c>
      <c r="H51" s="374" t="str">
        <f>INDEX('6. data thông tin nhân sự'!N:N, MATCH('5. Theo dõi mail'!B51, '6. data thông tin nhân sự'!B:B,0))</f>
        <v>12/05/2025</v>
      </c>
      <c r="I51" s="379"/>
      <c r="J51" s="379"/>
      <c r="K51" s="378" t="s">
        <v>1092</v>
      </c>
      <c r="L51" s="356" t="s">
        <v>1110</v>
      </c>
      <c r="M51" s="378" t="s">
        <v>1103</v>
      </c>
      <c r="N51" s="551"/>
      <c r="O51" s="356"/>
      <c r="P51" s="356"/>
      <c r="Q51" s="356"/>
      <c r="R51" s="356"/>
      <c r="S51" s="356"/>
      <c r="T51" s="356"/>
      <c r="U51" s="356"/>
      <c r="V51" s="596" t="s">
        <v>1090</v>
      </c>
      <c r="W51" s="596" t="s">
        <v>1083</v>
      </c>
      <c r="X51" s="356"/>
      <c r="Y51" s="356"/>
      <c r="Z51" s="356"/>
      <c r="AA51" s="356"/>
      <c r="AB51" s="448" t="s">
        <v>1108</v>
      </c>
      <c r="AC51" s="378"/>
      <c r="AD51" s="605"/>
      <c r="AF51" s="559"/>
      <c r="AG51" s="117"/>
    </row>
    <row r="52" spans="1:33" ht="16.5">
      <c r="A52" s="438">
        <f>IF(B52="","",SUBTOTAL(3,$B$6:B52))</f>
        <v>41</v>
      </c>
      <c r="B52" s="355">
        <v>25026</v>
      </c>
      <c r="C52" s="356" t="str">
        <f>INDEX('6. data thông tin nhân sự'!C:C, MATCH('5. Theo dõi mail'!B52, '6. data thông tin nhân sự'!B:B,0))</f>
        <v>Vũ Hoàng Duy</v>
      </c>
      <c r="D52" s="356" t="str">
        <f>INDEX('6. data thông tin nhân sự'!D:D, MATCH('5. Theo dõi mail'!B52, '6. data thông tin nhân sự'!B:B,0))</f>
        <v>Chính thức</v>
      </c>
      <c r="E52" s="356" t="str">
        <f>INDEX('6. data thông tin nhân sự'!G:G, MATCH('5. Theo dõi mail'!B52, '6. data thông tin nhân sự'!B:B,0))</f>
        <v>Sản xuất Video - Video Prodution</v>
      </c>
      <c r="F52" s="356" t="str">
        <f>INDEX('6. data thông tin nhân sự'!H:H, MATCH('5. Theo dõi mail'!B52, '6. data thông tin nhân sự'!B:B,0))</f>
        <v>Visual Concept Artist</v>
      </c>
      <c r="G52" s="356" t="str">
        <f>INDEX('6. data thông tin nhân sự'!L:L, MATCH('5. Theo dõi mail'!B52, '6. data thông tin nhân sự'!B:B,0))</f>
        <v>duyvh@newdaymedia.com.vn</v>
      </c>
      <c r="H52" s="374" t="str">
        <f>INDEX('6. data thông tin nhân sự'!N:N, MATCH('5. Theo dõi mail'!B52, '6. data thông tin nhân sự'!B:B,0))</f>
        <v>30/07/2025</v>
      </c>
      <c r="I52" s="379"/>
      <c r="J52" s="379"/>
      <c r="K52" s="378" t="s">
        <v>1092</v>
      </c>
      <c r="L52" s="356" t="s">
        <v>1110</v>
      </c>
      <c r="M52" s="378" t="s">
        <v>1103</v>
      </c>
      <c r="N52" s="551"/>
      <c r="O52" s="356"/>
      <c r="P52" s="356"/>
      <c r="Q52" s="356"/>
      <c r="R52" s="356"/>
      <c r="S52" s="356"/>
      <c r="T52" s="356"/>
      <c r="U52" s="356"/>
      <c r="V52" s="596" t="s">
        <v>1090</v>
      </c>
      <c r="W52" s="596" t="s">
        <v>1083</v>
      </c>
      <c r="X52" s="356"/>
      <c r="Y52" s="356"/>
      <c r="Z52" s="356"/>
      <c r="AA52" s="356"/>
      <c r="AB52" s="448" t="s">
        <v>1108</v>
      </c>
      <c r="AC52" s="378"/>
      <c r="AD52" s="605"/>
      <c r="AF52" s="560"/>
      <c r="AG52" s="117"/>
    </row>
    <row r="53" spans="1:33" ht="16.5">
      <c r="A53" s="438">
        <f>IF(B53="","",SUBTOTAL(3,$B$6:B53))</f>
        <v>42</v>
      </c>
      <c r="B53" s="355">
        <v>25032</v>
      </c>
      <c r="C53" s="356" t="str">
        <f>INDEX('6. data thông tin nhân sự'!C:C, MATCH('5. Theo dõi mail'!B53, '6. data thông tin nhân sự'!B:B,0))</f>
        <v>Nguyễn Ngọc Thắng</v>
      </c>
      <c r="D53" s="356" t="str">
        <f>INDEX('6. data thông tin nhân sự'!D:D, MATCH('5. Theo dõi mail'!B53, '6. data thông tin nhân sự'!B:B,0))</f>
        <v>Chính thức</v>
      </c>
      <c r="E53" s="356" t="str">
        <f>INDEX('6. data thông tin nhân sự'!G:G, MATCH('5. Theo dõi mail'!B53, '6. data thông tin nhân sự'!B:B,0))</f>
        <v>Sản xuất Video - Video Prodution</v>
      </c>
      <c r="F53" s="356" t="str">
        <f>INDEX('6. data thông tin nhân sự'!H:H, MATCH('5. Theo dõi mail'!B53, '6. data thông tin nhân sự'!B:B,0))</f>
        <v>Video Editor</v>
      </c>
      <c r="G53" s="356" t="str">
        <f>INDEX('6. data thông tin nhân sự'!L:L, MATCH('5. Theo dõi mail'!B53, '6. data thông tin nhân sự'!B:B,0))</f>
        <v>Thangnn@newdaymedia.com.vn</v>
      </c>
      <c r="H53" s="374" t="str">
        <f>INDEX('6. data thông tin nhân sự'!N:N, MATCH('5. Theo dõi mail'!B53, '6. data thông tin nhân sự'!B:B,0))</f>
        <v>25/09/2025</v>
      </c>
      <c r="I53" s="379"/>
      <c r="J53" s="379"/>
      <c r="K53" s="378" t="s">
        <v>1092</v>
      </c>
      <c r="L53" s="356" t="s">
        <v>1110</v>
      </c>
      <c r="M53" s="378" t="s">
        <v>1103</v>
      </c>
      <c r="N53" s="551"/>
      <c r="O53" s="356"/>
      <c r="P53" s="356"/>
      <c r="Q53" s="356"/>
      <c r="R53" s="356"/>
      <c r="S53" s="356"/>
      <c r="T53" s="356"/>
      <c r="U53" s="356"/>
      <c r="V53" s="596" t="s">
        <v>1090</v>
      </c>
      <c r="W53" s="596" t="s">
        <v>1083</v>
      </c>
      <c r="X53" s="356"/>
      <c r="Y53" s="356"/>
      <c r="Z53" s="356"/>
      <c r="AA53" s="356"/>
      <c r="AB53" s="448" t="s">
        <v>1108</v>
      </c>
      <c r="AC53" s="378"/>
      <c r="AD53" s="605"/>
    </row>
    <row r="54" spans="1:33" ht="16.5">
      <c r="A54" s="438">
        <f>IF(B54="","",SUBTOTAL(3,$B$6:B54))</f>
        <v>43</v>
      </c>
      <c r="B54" s="355">
        <v>25045</v>
      </c>
      <c r="C54" s="356" t="str">
        <f>INDEX('6. data thông tin nhân sự'!C:C, MATCH('5. Theo dõi mail'!B54, '6. data thông tin nhân sự'!B:B,0))</f>
        <v>Nguyễn Anh Tuấn</v>
      </c>
      <c r="D54" s="356" t="str">
        <f>INDEX('6. data thông tin nhân sự'!D:D, MATCH('5. Theo dõi mail'!B54, '6. data thông tin nhân sự'!B:B,0))</f>
        <v>Chính thức</v>
      </c>
      <c r="E54" s="356" t="str">
        <f>INDEX('6. data thông tin nhân sự'!G:G, MATCH('5. Theo dõi mail'!B54, '6. data thông tin nhân sự'!B:B,0))</f>
        <v>Sản xuất Video - Video Prodution</v>
      </c>
      <c r="F54" s="356" t="str">
        <f>INDEX('6. data thông tin nhân sự'!H:H, MATCH('5. Theo dõi mail'!B54, '6. data thông tin nhân sự'!B:B,0))</f>
        <v>Visual artist</v>
      </c>
      <c r="G54" s="356" t="str">
        <f>INDEX('6. data thông tin nhân sự'!L:L, MATCH('5. Theo dõi mail'!B54, '6. data thông tin nhân sự'!B:B,0))</f>
        <v>Tuanna@newdaymedia.com.vn</v>
      </c>
      <c r="H54" s="374" t="str">
        <f>INDEX('6. data thông tin nhân sự'!N:N, MATCH('5. Theo dõi mail'!B54, '6. data thông tin nhân sự'!B:B,0))</f>
        <v>16/12/2025</v>
      </c>
      <c r="I54" s="379"/>
      <c r="J54" s="379"/>
      <c r="K54" s="378" t="s">
        <v>1092</v>
      </c>
      <c r="L54" s="356" t="s">
        <v>1110</v>
      </c>
      <c r="M54" s="378" t="s">
        <v>1103</v>
      </c>
      <c r="N54" s="551"/>
      <c r="O54" s="356"/>
      <c r="P54" s="356"/>
      <c r="Q54" s="356"/>
      <c r="R54" s="356"/>
      <c r="S54" s="356"/>
      <c r="T54" s="356"/>
      <c r="U54" s="356"/>
      <c r="V54" s="596" t="s">
        <v>1090</v>
      </c>
      <c r="W54" s="596" t="s">
        <v>1083</v>
      </c>
      <c r="X54" s="356"/>
      <c r="Y54" s="379"/>
      <c r="Z54" s="356"/>
      <c r="AA54" s="356"/>
      <c r="AB54" s="448" t="s">
        <v>1108</v>
      </c>
      <c r="AC54" s="378"/>
      <c r="AD54" s="605"/>
    </row>
    <row r="55" spans="1:33" ht="16.5">
      <c r="A55" s="438">
        <f>IF(B55="","",SUBTOTAL(3,$B$6:B56))</f>
        <v>44</v>
      </c>
      <c r="B55" s="355">
        <v>25046</v>
      </c>
      <c r="C55" s="356" t="str">
        <f>INDEX('6. data thông tin nhân sự'!C:C, MATCH('5. Theo dõi mail'!B55, '6. data thông tin nhân sự'!B:B,0))</f>
        <v>Phùng Vân Anh</v>
      </c>
      <c r="D55" s="356" t="str">
        <f>INDEX('6. data thông tin nhân sự'!D:D, MATCH('5. Theo dõi mail'!B55, '6. data thông tin nhân sự'!B:B,0))</f>
        <v>Chính thức</v>
      </c>
      <c r="E55" s="356" t="str">
        <f>INDEX('6. data thông tin nhân sự'!G:G, MATCH('5. Theo dõi mail'!B55, '6. data thông tin nhân sự'!B:B,0))</f>
        <v>Sản xuất Video - Video Prodution</v>
      </c>
      <c r="F55" s="356" t="str">
        <f>INDEX('6. data thông tin nhân sự'!H:H, MATCH('5. Theo dõi mail'!B55, '6. data thông tin nhân sự'!B:B,0))</f>
        <v>3D Graphic Artist</v>
      </c>
      <c r="G55" s="356" t="str">
        <f>INDEX('6. data thông tin nhân sự'!L:L, MATCH('5. Theo dõi mail'!B55, '6. data thông tin nhân sự'!B:B,0))</f>
        <v>Anhpv@newdaymedia.com.vn</v>
      </c>
      <c r="H55" s="374" t="str">
        <f>INDEX('6. data thông tin nhân sự'!N:N, MATCH('5. Theo dõi mail'!B55, '6. data thông tin nhân sự'!B:B,0))</f>
        <v>16/12/2025</v>
      </c>
      <c r="I55" s="379"/>
      <c r="J55" s="379"/>
      <c r="K55" s="378" t="s">
        <v>1092</v>
      </c>
      <c r="L55" s="356" t="s">
        <v>1110</v>
      </c>
      <c r="M55" s="378" t="s">
        <v>1103</v>
      </c>
      <c r="N55" s="551"/>
      <c r="O55" s="356"/>
      <c r="P55" s="356"/>
      <c r="Q55" s="356"/>
      <c r="R55" s="356"/>
      <c r="S55" s="356"/>
      <c r="T55" s="356"/>
      <c r="U55" s="356"/>
      <c r="V55" s="596" t="s">
        <v>1090</v>
      </c>
      <c r="W55" s="596" t="s">
        <v>1083</v>
      </c>
      <c r="X55" s="356"/>
      <c r="Y55" s="356"/>
      <c r="Z55" s="356"/>
      <c r="AA55" s="356"/>
      <c r="AB55" s="448" t="s">
        <v>1108</v>
      </c>
      <c r="AC55" s="378"/>
      <c r="AD55" s="605"/>
    </row>
    <row r="56" spans="1:33" ht="16.5">
      <c r="A56" s="438"/>
      <c r="B56" s="355"/>
      <c r="C56" s="356" t="e">
        <f>INDEX('6. data thông tin nhân sự'!C:C, MATCH('5. Theo dõi mail'!B56, '6. data thông tin nhân sự'!B:B,0))</f>
        <v>#N/A</v>
      </c>
      <c r="D56" s="356" t="e">
        <f>INDEX('6. data thông tin nhân sự'!D:D, MATCH('5. Theo dõi mail'!B56, '6. data thông tin nhân sự'!B:B,0))</f>
        <v>#N/A</v>
      </c>
      <c r="E56" s="356" t="e">
        <f>INDEX('6. data thông tin nhân sự'!G:G, MATCH('5. Theo dõi mail'!B56, '6. data thông tin nhân sự'!B:B,0))</f>
        <v>#N/A</v>
      </c>
      <c r="F56" s="356" t="e">
        <f>INDEX('6. data thông tin nhân sự'!H:H, MATCH('5. Theo dõi mail'!B56, '6. data thông tin nhân sự'!B:B,0))</f>
        <v>#N/A</v>
      </c>
      <c r="G56" s="356" t="e">
        <f>INDEX('6. data thông tin nhân sự'!L:L, MATCH('5. Theo dõi mail'!B56, '6. data thông tin nhân sự'!B:B,0))</f>
        <v>#N/A</v>
      </c>
      <c r="H56" s="374"/>
      <c r="I56" s="379"/>
      <c r="J56" s="379"/>
      <c r="K56" s="378"/>
      <c r="L56" s="356" t="s">
        <v>1098</v>
      </c>
      <c r="M56" s="378"/>
      <c r="N56" s="551"/>
      <c r="O56" s="356"/>
      <c r="P56" s="356"/>
      <c r="Q56" s="356"/>
      <c r="R56" s="356"/>
      <c r="S56" s="356"/>
      <c r="T56" s="356"/>
      <c r="U56" s="356"/>
      <c r="V56" s="596"/>
      <c r="W56" s="596"/>
      <c r="X56" s="356"/>
      <c r="Y56" s="379"/>
      <c r="Z56" s="356"/>
      <c r="AA56" s="356"/>
      <c r="AB56" s="448"/>
      <c r="AC56" s="378"/>
      <c r="AD56" s="605"/>
    </row>
    <row r="57" spans="1:33" ht="15">
      <c r="A57" s="353" t="s">
        <v>1130</v>
      </c>
      <c r="B57" s="354"/>
      <c r="C57" s="354"/>
      <c r="D57" s="354"/>
      <c r="E57" s="354"/>
      <c r="F57" s="354"/>
      <c r="G57" s="354"/>
      <c r="H57" s="408"/>
      <c r="I57" s="408"/>
      <c r="J57" s="408"/>
      <c r="K57" s="354"/>
      <c r="L57" s="441"/>
      <c r="M57" s="441"/>
      <c r="N57" s="550"/>
      <c r="O57" s="441"/>
      <c r="P57" s="441"/>
      <c r="Q57" s="441"/>
      <c r="R57" s="441"/>
      <c r="S57" s="441"/>
      <c r="T57" s="441"/>
      <c r="U57" s="441"/>
      <c r="V57" s="597"/>
      <c r="W57" s="597"/>
      <c r="X57" s="441"/>
      <c r="Y57" s="441"/>
      <c r="Z57" s="441"/>
      <c r="AA57" s="441"/>
      <c r="AB57" s="441"/>
      <c r="AC57" s="602"/>
      <c r="AD57" s="604"/>
    </row>
    <row r="58" spans="1:33" s="338" customFormat="1" ht="16.5">
      <c r="A58" s="438">
        <f>IF(B58="","",SUBTOTAL(3,$B$6:B58))</f>
        <v>45</v>
      </c>
      <c r="B58" s="355">
        <v>17001</v>
      </c>
      <c r="C58" s="356" t="str">
        <f>INDEX('6. data thông tin nhân sự'!C:C, MATCH('5. Theo dõi mail'!B58, '6. data thông tin nhân sự'!B:B,0))</f>
        <v>Nguyễn Thị Hồng</v>
      </c>
      <c r="D58" s="356" t="str">
        <f>INDEX('6. data thông tin nhân sự'!D:D, MATCH('5. Theo dõi mail'!B58, '6. data thông tin nhân sự'!B:B,0))</f>
        <v>Chính thức</v>
      </c>
      <c r="E58" s="356" t="str">
        <f>INDEX('6. data thông tin nhân sự'!G:G, MATCH('5. Theo dõi mail'!B58, '6. data thông tin nhân sự'!B:B,0))</f>
        <v>Tài chính &amp; Kế toán  - Finance &amp; Accounting</v>
      </c>
      <c r="F58" s="356" t="str">
        <f>INDEX('6. data thông tin nhân sự'!H:H, MATCH('5. Theo dõi mail'!B58, '6. data thông tin nhân sự'!B:B,0))</f>
        <v>Finance &amp; Accounting Manager</v>
      </c>
      <c r="G58" s="356" t="str">
        <f>INDEX('6. data thông tin nhân sự'!L:L, MATCH('5. Theo dõi mail'!B58, '6. data thông tin nhân sự'!B:B,0))</f>
        <v>nguyenhong@newdaymedia.com.vn</v>
      </c>
      <c r="H58" s="374" t="str">
        <f>INDEX('6. data thông tin nhân sự'!N:N, MATCH('5. Theo dõi mail'!B58, '6. data thông tin nhân sự'!B:B,0))</f>
        <v>15/03/2017</v>
      </c>
      <c r="I58" s="379"/>
      <c r="J58" s="379"/>
      <c r="K58" s="378" t="s">
        <v>1092</v>
      </c>
      <c r="L58" s="356" t="s">
        <v>1102</v>
      </c>
      <c r="M58" s="378" t="s">
        <v>1103</v>
      </c>
      <c r="N58" s="551"/>
      <c r="O58" s="356"/>
      <c r="P58" s="356"/>
      <c r="Q58" s="356"/>
      <c r="R58" s="356"/>
      <c r="S58" s="356"/>
      <c r="T58" s="356"/>
      <c r="U58" s="356"/>
      <c r="V58" s="596" t="s">
        <v>1090</v>
      </c>
      <c r="W58" s="596" t="s">
        <v>1083</v>
      </c>
      <c r="X58" s="448"/>
      <c r="Y58" s="449"/>
      <c r="Z58" s="356" t="s">
        <v>1105</v>
      </c>
      <c r="AA58" s="356" t="s">
        <v>1131</v>
      </c>
      <c r="AB58" s="356" t="s">
        <v>1119</v>
      </c>
      <c r="AC58" s="837" t="s">
        <v>1132</v>
      </c>
      <c r="AD58" s="607"/>
    </row>
    <row r="59" spans="1:33" s="338" customFormat="1" ht="16.5">
      <c r="A59" s="438">
        <f>IF(B59="","",SUBTOTAL(3,$B$6:B59))</f>
        <v>46</v>
      </c>
      <c r="B59" s="357">
        <v>10004</v>
      </c>
      <c r="C59" s="356" t="str">
        <f>INDEX('6. data thông tin nhân sự'!C:C, MATCH('5. Theo dõi mail'!B59, '6. data thông tin nhân sự'!B:B,0))</f>
        <v>Nguyễn Phương Anh</v>
      </c>
      <c r="D59" s="356" t="str">
        <f>INDEX('6. data thông tin nhân sự'!D:D, MATCH('5. Theo dõi mail'!B59, '6. data thông tin nhân sự'!B:B,0))</f>
        <v>Chính thức</v>
      </c>
      <c r="E59" s="356" t="str">
        <f>INDEX('6. data thông tin nhân sự'!G:G, MATCH('5. Theo dõi mail'!B59, '6. data thông tin nhân sự'!B:B,0))</f>
        <v>Tài chính &amp; Kế toán  - Finance &amp; Accounting</v>
      </c>
      <c r="F59" s="356" t="str">
        <f>INDEX('6. data thông tin nhân sự'!H:H, MATCH('5. Theo dõi mail'!B59, '6. data thông tin nhân sự'!B:B,0))</f>
        <v>Senior Finance &amp; Accountant</v>
      </c>
      <c r="G59" s="356" t="str">
        <f>INDEX('6. data thông tin nhân sự'!L:L, MATCH('5. Theo dõi mail'!B59, '6. data thông tin nhân sự'!B:B,0))</f>
        <v>anhnp@newdaymedia.com.vn</v>
      </c>
      <c r="H59" s="374" t="str">
        <f>INDEX('6. data thông tin nhân sự'!N:N, MATCH('5. Theo dõi mail'!B59, '6. data thông tin nhân sự'!B:B,0))</f>
        <v>20/03/2010</v>
      </c>
      <c r="I59" s="379"/>
      <c r="J59" s="379"/>
      <c r="K59" s="378" t="s">
        <v>1092</v>
      </c>
      <c r="L59" s="356" t="s">
        <v>1102</v>
      </c>
      <c r="M59" s="378" t="s">
        <v>1103</v>
      </c>
      <c r="N59" s="551"/>
      <c r="O59" s="356"/>
      <c r="P59" s="356"/>
      <c r="Q59" s="356"/>
      <c r="R59" s="356"/>
      <c r="S59" s="356"/>
      <c r="T59" s="356"/>
      <c r="U59" s="356"/>
      <c r="V59" s="596" t="s">
        <v>1090</v>
      </c>
      <c r="W59" s="596" t="s">
        <v>1083</v>
      </c>
      <c r="X59" s="448"/>
      <c r="Y59" s="449"/>
      <c r="Z59" s="356" t="s">
        <v>1105</v>
      </c>
      <c r="AA59" s="356" t="s">
        <v>1131</v>
      </c>
      <c r="AB59" s="356" t="s">
        <v>1119</v>
      </c>
      <c r="AC59" s="838"/>
      <c r="AD59" s="607"/>
    </row>
    <row r="60" spans="1:33" s="338" customFormat="1" ht="16.5">
      <c r="A60" s="438">
        <f>IF(B60="","",SUBTOTAL(3,$B$6:B60))</f>
        <v>47</v>
      </c>
      <c r="B60" s="355">
        <v>24007</v>
      </c>
      <c r="C60" s="356" t="str">
        <f>INDEX('6. data thông tin nhân sự'!C:C, MATCH('5. Theo dõi mail'!B60, '6. data thông tin nhân sự'!B:B,0))</f>
        <v>Lê Thương Huyền</v>
      </c>
      <c r="D60" s="356" t="str">
        <f>INDEX('6. data thông tin nhân sự'!D:D, MATCH('5. Theo dõi mail'!B60, '6. data thông tin nhân sự'!B:B,0))</f>
        <v>Chính thức</v>
      </c>
      <c r="E60" s="356" t="str">
        <f>INDEX('6. data thông tin nhân sự'!G:G, MATCH('5. Theo dõi mail'!B60, '6. data thông tin nhân sự'!B:B,0))</f>
        <v>Tài chính &amp; Kế toán  - Finance &amp; Accounting</v>
      </c>
      <c r="F60" s="356" t="str">
        <f>INDEX('6. data thông tin nhân sự'!H:H, MATCH('5. Theo dõi mail'!B60, '6. data thông tin nhân sự'!B:B,0))</f>
        <v>Senior Finance &amp; Accountant</v>
      </c>
      <c r="G60" s="356" t="str">
        <f>INDEX('6. data thông tin nhân sự'!L:L, MATCH('5. Theo dõi mail'!B60, '6. data thông tin nhân sự'!B:B,0))</f>
        <v>huyenlt@newdaymedia.com.vn</v>
      </c>
      <c r="H60" s="374" t="str">
        <f>INDEX('6. data thông tin nhân sự'!N:N, MATCH('5. Theo dõi mail'!B60, '6. data thông tin nhân sự'!B:B,0))</f>
        <v>15/08/2024</v>
      </c>
      <c r="I60" s="379"/>
      <c r="J60" s="379"/>
      <c r="K60" s="378" t="s">
        <v>1092</v>
      </c>
      <c r="L60" s="356" t="s">
        <v>1102</v>
      </c>
      <c r="M60" s="378" t="s">
        <v>1103</v>
      </c>
      <c r="N60" s="551"/>
      <c r="O60" s="356"/>
      <c r="P60" s="356"/>
      <c r="Q60" s="356"/>
      <c r="R60" s="356"/>
      <c r="S60" s="356"/>
      <c r="T60" s="356"/>
      <c r="U60" s="356"/>
      <c r="V60" s="596" t="s">
        <v>1090</v>
      </c>
      <c r="W60" s="596" t="s">
        <v>1083</v>
      </c>
      <c r="X60" s="448"/>
      <c r="Y60" s="449"/>
      <c r="Z60" s="356" t="s">
        <v>1105</v>
      </c>
      <c r="AA60" s="356" t="s">
        <v>1131</v>
      </c>
      <c r="AB60" s="356" t="s">
        <v>1119</v>
      </c>
      <c r="AC60" s="838"/>
      <c r="AD60" s="607"/>
    </row>
    <row r="61" spans="1:33" s="338" customFormat="1" ht="16.5">
      <c r="A61" s="438">
        <f>IF(B61="","",SUBTOTAL(3,$B$6:B61))</f>
        <v>48</v>
      </c>
      <c r="B61" s="355">
        <v>25017</v>
      </c>
      <c r="C61" s="356" t="str">
        <f>INDEX('6. data thông tin nhân sự'!C:C, MATCH('5. Theo dõi mail'!B61, '6. data thông tin nhân sự'!B:B,0))</f>
        <v>Nguyễn Thu Hà</v>
      </c>
      <c r="D61" s="356" t="str">
        <f>INDEX('6. data thông tin nhân sự'!D:D, MATCH('5. Theo dõi mail'!B61, '6. data thông tin nhân sự'!B:B,0))</f>
        <v>Chính thức</v>
      </c>
      <c r="E61" s="356" t="str">
        <f>INDEX('6. data thông tin nhân sự'!G:G, MATCH('5. Theo dõi mail'!B61, '6. data thông tin nhân sự'!B:B,0))</f>
        <v>Tài chính &amp; Kế toán  - Finance &amp; Accounting</v>
      </c>
      <c r="F61" s="356" t="str">
        <f>INDEX('6. data thông tin nhân sự'!H:H, MATCH('5. Theo dõi mail'!B61, '6. data thông tin nhân sự'!B:B,0))</f>
        <v>Senior Finance &amp; Accountant</v>
      </c>
      <c r="G61" s="356" t="str">
        <f>INDEX('6. data thông tin nhân sự'!L:L, MATCH('5. Theo dõi mail'!B61, '6. data thông tin nhân sự'!B:B,0))</f>
        <v>hant@newdaymedia.com.vn</v>
      </c>
      <c r="H61" s="374" t="str">
        <f>INDEX('6. data thông tin nhân sự'!N:N, MATCH('5. Theo dõi mail'!B61, '6. data thông tin nhân sự'!B:B,0))</f>
        <v>26/06/2025</v>
      </c>
      <c r="I61" s="379"/>
      <c r="J61" s="379"/>
      <c r="K61" s="378" t="s">
        <v>1092</v>
      </c>
      <c r="L61" s="356" t="s">
        <v>1102</v>
      </c>
      <c r="M61" s="378" t="s">
        <v>1103</v>
      </c>
      <c r="N61" s="551"/>
      <c r="O61" s="356"/>
      <c r="P61" s="356"/>
      <c r="Q61" s="356"/>
      <c r="R61" s="356"/>
      <c r="S61" s="356"/>
      <c r="T61" s="356"/>
      <c r="U61" s="356"/>
      <c r="V61" s="596" t="s">
        <v>1090</v>
      </c>
      <c r="W61" s="596" t="s">
        <v>1083</v>
      </c>
      <c r="X61" s="448"/>
      <c r="Y61" s="449"/>
      <c r="Z61" s="356" t="s">
        <v>1105</v>
      </c>
      <c r="AA61" s="356" t="s">
        <v>1131</v>
      </c>
      <c r="AB61" s="356" t="s">
        <v>1119</v>
      </c>
      <c r="AC61" s="838"/>
      <c r="AD61" s="607"/>
    </row>
    <row r="62" spans="1:33" s="338" customFormat="1" ht="16.5">
      <c r="A62" s="438">
        <f>IF(B62="","",SUBTOTAL(3,$B$6:B62))</f>
        <v>49</v>
      </c>
      <c r="B62" s="355">
        <v>25039</v>
      </c>
      <c r="C62" s="356" t="str">
        <f>INDEX('6. data thông tin nhân sự'!C:C, MATCH('5. Theo dõi mail'!B62, '6. data thông tin nhân sự'!B:B,0))</f>
        <v>Nguyễn Thị Thu Hoài</v>
      </c>
      <c r="D62" s="356" t="str">
        <f>INDEX('6. data thông tin nhân sự'!D:D, MATCH('5. Theo dõi mail'!B62, '6. data thông tin nhân sự'!B:B,0))</f>
        <v>Chính thức</v>
      </c>
      <c r="E62" s="356" t="str">
        <f>INDEX('6. data thông tin nhân sự'!G:G, MATCH('5. Theo dõi mail'!B62, '6. data thông tin nhân sự'!B:B,0))</f>
        <v>Tài chính &amp; Kế toán  - Finance &amp; Accounting</v>
      </c>
      <c r="F62" s="356" t="str">
        <f>INDEX('6. data thông tin nhân sự'!H:H, MATCH('5. Theo dõi mail'!B62, '6. data thông tin nhân sự'!B:B,0))</f>
        <v>Senior Finance &amp; Accountant</v>
      </c>
      <c r="G62" s="356" t="str">
        <f>INDEX('6. data thông tin nhân sự'!L:L, MATCH('5. Theo dõi mail'!B62, '6. data thông tin nhân sự'!B:B,0))</f>
        <v>Hoaintt@newdaymedia.com.vn</v>
      </c>
      <c r="H62" s="374" t="str">
        <f>INDEX('6. data thông tin nhân sự'!N:N, MATCH('5. Theo dõi mail'!B62, '6. data thông tin nhân sự'!B:B,0))</f>
        <v>17/11/2025</v>
      </c>
      <c r="I62" s="379"/>
      <c r="J62" s="379"/>
      <c r="K62" s="378" t="s">
        <v>1092</v>
      </c>
      <c r="L62" s="356" t="s">
        <v>1102</v>
      </c>
      <c r="M62" s="378" t="s">
        <v>1103</v>
      </c>
      <c r="N62" s="551"/>
      <c r="O62" s="356"/>
      <c r="P62" s="356"/>
      <c r="Q62" s="356"/>
      <c r="R62" s="356"/>
      <c r="S62" s="356"/>
      <c r="T62" s="356"/>
      <c r="U62" s="356"/>
      <c r="V62" s="596" t="s">
        <v>1090</v>
      </c>
      <c r="W62" s="596" t="s">
        <v>1083</v>
      </c>
      <c r="X62" s="448"/>
      <c r="Y62" s="449"/>
      <c r="Z62" s="356" t="s">
        <v>1105</v>
      </c>
      <c r="AA62" s="356" t="s">
        <v>1131</v>
      </c>
      <c r="AB62" s="356" t="s">
        <v>1119</v>
      </c>
      <c r="AC62" s="838"/>
      <c r="AD62" s="607"/>
    </row>
    <row r="63" spans="1:33" s="338" customFormat="1" ht="16.5">
      <c r="A63" s="438">
        <f>IF(B63="","",SUBTOTAL(3,$B$6:B63))</f>
        <v>50</v>
      </c>
      <c r="B63" s="355">
        <v>25041</v>
      </c>
      <c r="C63" s="356" t="str">
        <f>INDEX('6. data thông tin nhân sự'!C:C, MATCH('5. Theo dõi mail'!B63, '6. data thông tin nhân sự'!B:B,0))</f>
        <v>Bùi Hữu Đức</v>
      </c>
      <c r="D63" s="356" t="str">
        <f>INDEX('6. data thông tin nhân sự'!D:D, MATCH('5. Theo dõi mail'!B63, '6. data thông tin nhân sự'!B:B,0))</f>
        <v>Chính thức</v>
      </c>
      <c r="E63" s="356" t="str">
        <f>INDEX('6. data thông tin nhân sự'!G:G, MATCH('5. Theo dõi mail'!B63, '6. data thông tin nhân sự'!B:B,0))</f>
        <v>Tài chính &amp; Kế toán  - Finance &amp; Accounting</v>
      </c>
      <c r="F63" s="356" t="str">
        <f>INDEX('6. data thông tin nhân sự'!H:H, MATCH('5. Theo dõi mail'!B63, '6. data thông tin nhân sự'!B:B,0))</f>
        <v>Senior Finance &amp; Accountant</v>
      </c>
      <c r="G63" s="356" t="str">
        <f>INDEX('6. data thông tin nhân sự'!L:L, MATCH('5. Theo dõi mail'!B63, '6. data thông tin nhân sự'!B:B,0))</f>
        <v>Ducbh@newdaymedia.com.vn</v>
      </c>
      <c r="H63" s="374" t="str">
        <f>INDEX('6. data thông tin nhân sự'!N:N, MATCH('5. Theo dõi mail'!B63, '6. data thông tin nhân sự'!B:B,0))</f>
        <v>24/11/2025</v>
      </c>
      <c r="I63" s="379"/>
      <c r="J63" s="379"/>
      <c r="K63" s="378" t="s">
        <v>1092</v>
      </c>
      <c r="L63" s="356" t="s">
        <v>1102</v>
      </c>
      <c r="M63" s="378" t="s">
        <v>1103</v>
      </c>
      <c r="N63" s="551"/>
      <c r="O63" s="356"/>
      <c r="P63" s="356"/>
      <c r="Q63" s="356"/>
      <c r="R63" s="356"/>
      <c r="S63" s="356"/>
      <c r="T63" s="356"/>
      <c r="U63" s="356"/>
      <c r="V63" s="596" t="s">
        <v>1090</v>
      </c>
      <c r="W63" s="596" t="s">
        <v>1083</v>
      </c>
      <c r="X63" s="448"/>
      <c r="Y63" s="449"/>
      <c r="Z63" s="356" t="s">
        <v>1105</v>
      </c>
      <c r="AA63" s="356" t="s">
        <v>1131</v>
      </c>
      <c r="AB63" s="356" t="s">
        <v>1119</v>
      </c>
      <c r="AC63" s="839"/>
      <c r="AD63" s="607"/>
    </row>
    <row r="64" spans="1:33" s="338" customFormat="1" ht="15">
      <c r="A64" s="353" t="s">
        <v>1133</v>
      </c>
      <c r="B64" s="354"/>
      <c r="C64" s="354"/>
      <c r="D64" s="354"/>
      <c r="E64" s="354"/>
      <c r="F64" s="354"/>
      <c r="G64" s="354"/>
      <c r="H64" s="408"/>
      <c r="I64" s="408"/>
      <c r="J64" s="408"/>
      <c r="K64" s="354"/>
      <c r="L64" s="441"/>
      <c r="M64" s="441"/>
      <c r="N64" s="550"/>
      <c r="O64" s="441"/>
      <c r="P64" s="441"/>
      <c r="Q64" s="441"/>
      <c r="R64" s="441"/>
      <c r="S64" s="441"/>
      <c r="T64" s="441"/>
      <c r="U64" s="441"/>
      <c r="V64" s="597"/>
      <c r="W64" s="597"/>
      <c r="X64" s="441"/>
      <c r="Y64" s="441"/>
      <c r="Z64" s="441"/>
      <c r="AA64" s="441"/>
      <c r="AB64" s="441"/>
      <c r="AC64" s="602"/>
      <c r="AD64" s="604"/>
    </row>
    <row r="65" spans="1:40" ht="16.5">
      <c r="A65" s="438">
        <f>IF(B65="","",SUBTOTAL(3,$B$6:B65))</f>
        <v>51</v>
      </c>
      <c r="B65" s="355">
        <v>25015</v>
      </c>
      <c r="C65" s="356" t="str">
        <f>INDEX('6. data thông tin nhân sự'!C:C, MATCH('5. Theo dõi mail'!B65, '6. data thông tin nhân sự'!B:B,0))</f>
        <v>Bạch Thị Lệ Hằng</v>
      </c>
      <c r="D65" s="356" t="str">
        <f>INDEX('6. data thông tin nhân sự'!D:D, MATCH('5. Theo dõi mail'!B65, '6. data thông tin nhân sự'!B:B,0))</f>
        <v>Chính thức</v>
      </c>
      <c r="E65" s="356" t="str">
        <f>INDEX('6. data thông tin nhân sự'!G:G, MATCH('5. Theo dõi mail'!B65, '6. data thông tin nhân sự'!B:B,0))</f>
        <v>Hành chính nhân sự - HR &amp; Admin</v>
      </c>
      <c r="F65" s="356" t="str">
        <f>INDEX('6. data thông tin nhân sự'!H:H, MATCH('5. Theo dõi mail'!B65, '6. data thông tin nhân sự'!B:B,0))</f>
        <v>HR &amp; Admintration Manager</v>
      </c>
      <c r="G65" s="356" t="str">
        <f>INDEX('6. data thông tin nhân sự'!L:L, MATCH('5. Theo dõi mail'!B65, '6. data thông tin nhân sự'!B:B,0))</f>
        <v>hangbtl@newdaymedia.com.vn</v>
      </c>
      <c r="H65" s="374" t="str">
        <f>INDEX('6. data thông tin nhân sự'!N:N, MATCH('5. Theo dõi mail'!B65, '6. data thông tin nhân sự'!B:B,0))</f>
        <v>23/06/2025</v>
      </c>
      <c r="I65" s="379"/>
      <c r="J65" s="379"/>
      <c r="K65" s="378" t="s">
        <v>1092</v>
      </c>
      <c r="L65" s="356" t="s">
        <v>1102</v>
      </c>
      <c r="M65" s="378" t="s">
        <v>1103</v>
      </c>
      <c r="N65" s="551"/>
      <c r="O65" s="356"/>
      <c r="P65" s="356"/>
      <c r="Q65" s="356"/>
      <c r="R65" s="356"/>
      <c r="S65" s="356"/>
      <c r="T65" s="356"/>
      <c r="U65" s="356"/>
      <c r="V65" s="596" t="s">
        <v>1090</v>
      </c>
      <c r="W65" s="596" t="s">
        <v>1083</v>
      </c>
      <c r="X65" s="448" t="s">
        <v>1104</v>
      </c>
      <c r="Y65" s="449">
        <v>46219</v>
      </c>
      <c r="Z65" s="356" t="s">
        <v>1105</v>
      </c>
      <c r="AA65" s="356" t="s">
        <v>1105</v>
      </c>
      <c r="AB65" s="356" t="s">
        <v>1119</v>
      </c>
      <c r="AC65" s="378"/>
      <c r="AD65" s="605"/>
    </row>
    <row r="66" spans="1:40" ht="16.5">
      <c r="A66" s="438">
        <f>IF(B66="","",SUBTOTAL(3,$B$6:B66))</f>
        <v>52</v>
      </c>
      <c r="B66" s="355">
        <v>25021</v>
      </c>
      <c r="C66" s="356" t="str">
        <f>INDEX('6. data thông tin nhân sự'!C:C, MATCH('5. Theo dõi mail'!B66, '6. data thông tin nhân sự'!B:B,0))</f>
        <v>Ngô Thị Hồng Hải</v>
      </c>
      <c r="D66" s="356" t="str">
        <f>INDEX('6. data thông tin nhân sự'!D:D, MATCH('5. Theo dõi mail'!B66, '6. data thông tin nhân sự'!B:B,0))</f>
        <v>Chính thức</v>
      </c>
      <c r="E66" s="356" t="str">
        <f>INDEX('6. data thông tin nhân sự'!G:G, MATCH('5. Theo dõi mail'!B66, '6. data thông tin nhân sự'!B:B,0))</f>
        <v>Hành chính nhân sự - HR &amp; Admin</v>
      </c>
      <c r="F66" s="356" t="str">
        <f>INDEX('6. data thông tin nhân sự'!H:H, MATCH('5. Theo dõi mail'!B66, '6. data thông tin nhân sự'!B:B,0))</f>
        <v>HR &amp; Admintration Executive</v>
      </c>
      <c r="G66" s="356" t="str">
        <f>INDEX('6. data thông tin nhân sự'!L:L, MATCH('5. Theo dõi mail'!B66, '6. data thông tin nhân sự'!B:B,0))</f>
        <v>Hainth@newdaymedia.com.vn</v>
      </c>
      <c r="H66" s="374" t="str">
        <f>INDEX('6. data thông tin nhân sự'!N:N, MATCH('5. Theo dõi mail'!B66, '6. data thông tin nhân sự'!B:B,0))</f>
        <v>15/07/2025</v>
      </c>
      <c r="I66" s="379"/>
      <c r="J66" s="379"/>
      <c r="K66" s="378" t="s">
        <v>1092</v>
      </c>
      <c r="L66" s="356" t="s">
        <v>1102</v>
      </c>
      <c r="M66" s="378" t="s">
        <v>1103</v>
      </c>
      <c r="N66" s="551"/>
      <c r="O66" s="356"/>
      <c r="P66" s="356"/>
      <c r="Q66" s="356"/>
      <c r="R66" s="356"/>
      <c r="S66" s="356"/>
      <c r="T66" s="356"/>
      <c r="U66" s="356"/>
      <c r="V66" s="596" t="s">
        <v>1090</v>
      </c>
      <c r="W66" s="596" t="s">
        <v>1083</v>
      </c>
      <c r="X66" s="448" t="s">
        <v>1104</v>
      </c>
      <c r="Y66" s="449">
        <v>46219</v>
      </c>
      <c r="Z66" s="356" t="s">
        <v>1105</v>
      </c>
      <c r="AA66" s="356" t="s">
        <v>1105</v>
      </c>
      <c r="AB66" s="356" t="s">
        <v>1119</v>
      </c>
      <c r="AC66" s="378"/>
      <c r="AD66" s="605"/>
    </row>
    <row r="67" spans="1:40" ht="16.5">
      <c r="A67" s="438">
        <f>IF(B67="","",SUBTOTAL(3,$B$6:B67))</f>
        <v>53</v>
      </c>
      <c r="B67" s="355">
        <v>26020</v>
      </c>
      <c r="C67" s="356" t="str">
        <f>INDEX('6. data thông tin nhân sự'!C:C, MATCH('5. Theo dõi mail'!B67, '6. data thông tin nhân sự'!B:B,0))</f>
        <v>Đào Duy Tùng</v>
      </c>
      <c r="D67" s="356" t="str">
        <f>INDEX('6. data thông tin nhân sự'!D:D, MATCH('5. Theo dõi mail'!B67, '6. data thông tin nhân sự'!B:B,0))</f>
        <v xml:space="preserve">Nghỉ việc </v>
      </c>
      <c r="E67" s="356" t="str">
        <f>INDEX('6. data thông tin nhân sự'!G:G, MATCH('5. Theo dõi mail'!B67, '6. data thông tin nhân sự'!B:B,0))</f>
        <v>Hành chính nhân sự - HR &amp; Admin</v>
      </c>
      <c r="F67" s="356" t="str">
        <f>INDEX('6. data thông tin nhân sự'!H:H, MATCH('5. Theo dõi mail'!B67, '6. data thông tin nhân sự'!B:B,0))</f>
        <v>IT Helpdesk</v>
      </c>
      <c r="G67" s="356" t="str">
        <f>INDEX('6. data thông tin nhân sự'!L:L, MATCH('5. Theo dõi mail'!B67, '6. data thông tin nhân sự'!B:B,0))</f>
        <v>Tungdd@newdaymedia.com.vn</v>
      </c>
      <c r="H67" s="374" t="str">
        <f>INDEX('6. data thông tin nhân sự'!N:N, MATCH('5. Theo dõi mail'!B67, '6. data thông tin nhân sự'!B:B,0))</f>
        <v>23/06/2026</v>
      </c>
      <c r="I67" s="379"/>
      <c r="J67" s="379"/>
      <c r="K67" s="378" t="s">
        <v>1092</v>
      </c>
      <c r="L67" s="356" t="s">
        <v>1098</v>
      </c>
      <c r="M67" s="356"/>
      <c r="N67" s="549"/>
      <c r="O67" s="356"/>
      <c r="P67" s="356"/>
      <c r="Q67" s="356"/>
      <c r="R67" s="356"/>
      <c r="S67" s="356"/>
      <c r="T67" s="356"/>
      <c r="U67" s="356"/>
      <c r="V67" s="596" t="s">
        <v>1090</v>
      </c>
      <c r="W67" s="596" t="s">
        <v>1086</v>
      </c>
      <c r="X67" s="448" t="s">
        <v>1104</v>
      </c>
      <c r="Y67" s="449">
        <v>46219</v>
      </c>
      <c r="Z67" s="356" t="s">
        <v>1105</v>
      </c>
      <c r="AA67" s="356" t="s">
        <v>1105</v>
      </c>
      <c r="AB67" s="356" t="s">
        <v>1119</v>
      </c>
      <c r="AC67" s="378"/>
      <c r="AD67" s="605"/>
    </row>
    <row r="68" spans="1:40" ht="16.5">
      <c r="A68" s="438">
        <f>IF(B68="","",SUBTOTAL(3,$B$6:B68))</f>
        <v>54</v>
      </c>
      <c r="B68" s="355">
        <v>26028</v>
      </c>
      <c r="C68" t="s">
        <v>1134</v>
      </c>
      <c r="D68" s="356" t="str">
        <f>INDEX('6. data thông tin nhân sự'!D:D, MATCH('5. Theo dõi mail'!B68, '6. data thông tin nhân sự'!B:B,0))</f>
        <v>Thử việc</v>
      </c>
      <c r="E68" s="356" t="str">
        <f>INDEX('6. data thông tin nhân sự'!G:G, MATCH('5. Theo dõi mail'!B68, '6. data thông tin nhân sự'!B:B,0))</f>
        <v>Hành chính nhân sự - HR &amp; Admin</v>
      </c>
      <c r="F68" s="356" t="str">
        <f>INDEX('6. data thông tin nhân sự'!H:H, MATCH('5. Theo dõi mail'!B68, '6. data thông tin nhân sự'!B:B,0))</f>
        <v>Administrative Receptionist</v>
      </c>
      <c r="G68" s="356" t="str">
        <f>INDEX('6. data thông tin nhân sự'!L:L, MATCH('5. Theo dõi mail'!B68, '6. data thông tin nhân sự'!B:B,0))</f>
        <v>Tranghtt@newdaymedia.com.vn</v>
      </c>
      <c r="H68" s="374" t="str">
        <f>INDEX('6. data thông tin nhân sự'!N:N, MATCH('5. Theo dõi mail'!B68, '6. data thông tin nhân sự'!B:B,0))</f>
        <v>10/08/2026</v>
      </c>
      <c r="I68" s="379"/>
      <c r="J68" s="379"/>
      <c r="K68" s="378" t="s">
        <v>1092</v>
      </c>
      <c r="L68" s="356" t="s">
        <v>1098</v>
      </c>
      <c r="M68" s="378"/>
      <c r="N68" s="551"/>
      <c r="O68" s="356"/>
      <c r="P68" s="356"/>
      <c r="Q68" s="356"/>
      <c r="R68" s="356"/>
      <c r="S68" s="356"/>
      <c r="T68" s="356"/>
      <c r="U68" s="356"/>
      <c r="V68" s="596" t="s">
        <v>1090</v>
      </c>
      <c r="W68" s="596" t="s">
        <v>1083</v>
      </c>
      <c r="X68" s="448" t="s">
        <v>1104</v>
      </c>
      <c r="Y68" s="449">
        <v>46219</v>
      </c>
      <c r="Z68" s="356" t="s">
        <v>1105</v>
      </c>
      <c r="AA68" s="356" t="s">
        <v>1105</v>
      </c>
      <c r="AB68" s="356" t="s">
        <v>1124</v>
      </c>
      <c r="AC68" s="378"/>
      <c r="AD68" s="605"/>
    </row>
    <row r="69" spans="1:40" ht="16.5">
      <c r="A69" s="438">
        <f>IF(B69="","",SUBTOTAL(3,$B$6:B69))</f>
        <v>55</v>
      </c>
      <c r="B69" s="355">
        <v>26007</v>
      </c>
      <c r="C69" s="356" t="str">
        <f>INDEX('6. data thông tin nhân sự'!C:C, MATCH('5. Theo dõi mail'!B69, '6. data thông tin nhân sự'!B:B,0))</f>
        <v>Hoàng Thị Thoa</v>
      </c>
      <c r="D69" s="356" t="str">
        <f>INDEX('6. data thông tin nhân sự'!D:D, MATCH('5. Theo dõi mail'!B69, '6. data thông tin nhân sự'!B:B,0))</f>
        <v>Chính thức</v>
      </c>
      <c r="E69" s="356" t="str">
        <f>INDEX('6. data thông tin nhân sự'!G:G, MATCH('5. Theo dõi mail'!B69, '6. data thông tin nhân sự'!B:B,0))</f>
        <v>Hành chính nhân sự - HR &amp; Admin</v>
      </c>
      <c r="F69" s="356" t="str">
        <f>INDEX('6. data thông tin nhân sự'!H:H, MATCH('5. Theo dõi mail'!B69, '6. data thông tin nhân sự'!B:B,0))</f>
        <v>Assistant of General Director</v>
      </c>
      <c r="G69" s="356" t="str">
        <f>INDEX('6. data thông tin nhân sự'!L:L, MATCH('5. Theo dõi mail'!B69, '6. data thông tin nhân sự'!B:B,0))</f>
        <v>Thoaht1@newdaymedia.com.vn</v>
      </c>
      <c r="H69" s="374" t="str">
        <f>INDEX('6. data thông tin nhân sự'!N:N, MATCH('5. Theo dõi mail'!B69, '6. data thông tin nhân sự'!B:B,0))</f>
        <v>23/03/2026</v>
      </c>
      <c r="I69" s="379"/>
      <c r="J69" s="379"/>
      <c r="K69" s="378" t="s">
        <v>1092</v>
      </c>
      <c r="L69" s="356" t="s">
        <v>1110</v>
      </c>
      <c r="M69" s="378" t="s">
        <v>1103</v>
      </c>
      <c r="N69" s="551"/>
      <c r="O69" s="356"/>
      <c r="P69" s="356"/>
      <c r="Q69" s="356"/>
      <c r="R69" s="356"/>
      <c r="S69" s="356"/>
      <c r="T69" s="356"/>
      <c r="U69" s="356"/>
      <c r="V69" s="600" t="s">
        <v>1101</v>
      </c>
      <c r="W69" s="596" t="s">
        <v>1085</v>
      </c>
      <c r="X69" s="356"/>
      <c r="Y69" s="356"/>
      <c r="Z69" s="356"/>
      <c r="AA69" s="356"/>
      <c r="AB69" s="356" t="s">
        <v>1124</v>
      </c>
      <c r="AC69" s="378"/>
      <c r="AD69" s="605"/>
    </row>
    <row r="70" spans="1:40" ht="15">
      <c r="A70" s="353" t="s">
        <v>1135</v>
      </c>
      <c r="B70" s="354"/>
      <c r="C70" s="354"/>
      <c r="D70" s="354"/>
      <c r="E70" s="354"/>
      <c r="F70" s="354"/>
      <c r="G70" s="354"/>
      <c r="H70" s="408"/>
      <c r="I70" s="408"/>
      <c r="J70" s="408"/>
      <c r="K70" s="354"/>
      <c r="L70" s="441"/>
      <c r="M70" s="441"/>
      <c r="N70" s="550"/>
      <c r="O70" s="441"/>
      <c r="P70" s="441"/>
      <c r="Q70" s="441"/>
      <c r="R70" s="441"/>
      <c r="S70" s="441"/>
      <c r="T70" s="441"/>
      <c r="U70" s="441"/>
      <c r="V70" s="597"/>
      <c r="W70" s="597"/>
      <c r="X70" s="441"/>
      <c r="Y70" s="441"/>
      <c r="Z70" s="441"/>
      <c r="AA70" s="441"/>
      <c r="AB70" s="441"/>
      <c r="AC70" s="602"/>
      <c r="AD70" s="604"/>
      <c r="AE70" s="338"/>
      <c r="AF70" s="338"/>
      <c r="AG70" s="338"/>
      <c r="AH70" s="338"/>
      <c r="AI70" s="338"/>
      <c r="AJ70" s="338"/>
      <c r="AK70" s="338"/>
      <c r="AL70" s="338"/>
      <c r="AM70" s="338"/>
      <c r="AN70" s="338"/>
    </row>
    <row r="71" spans="1:40" ht="16.5">
      <c r="A71" s="438">
        <f>IF(B71="","",SUBTOTAL(3,$B$6:B71))</f>
        <v>56</v>
      </c>
      <c r="B71" s="355">
        <v>25038</v>
      </c>
      <c r="C71" s="356" t="str">
        <f>INDEX('6. data thông tin nhân sự'!C:C, MATCH('5. Theo dõi mail'!B71, '6. data thông tin nhân sự'!B:B,0))</f>
        <v>Tô Thị Thoa</v>
      </c>
      <c r="D71" s="356" t="str">
        <f>INDEX('6. data thông tin nhân sự'!D:D, MATCH('5. Theo dõi mail'!B71, '6. data thông tin nhân sự'!B:B,0))</f>
        <v xml:space="preserve">Nghỉ việc </v>
      </c>
      <c r="E71" s="356" t="str">
        <f>INDEX('6. data thông tin nhân sự'!G:G, MATCH('5. Theo dõi mail'!B71, '6. data thông tin nhân sự'!B:B,0))</f>
        <v>Dự án - Project</v>
      </c>
      <c r="F71" s="356" t="str">
        <f>INDEX('6. data thông tin nhân sự'!H:H, MATCH('5. Theo dõi mail'!B71, '6. data thông tin nhân sự'!B:B,0))</f>
        <v>Project Assistant</v>
      </c>
      <c r="G71" s="356" t="str">
        <f>INDEX('6. data thông tin nhân sự'!L:L, MATCH('5. Theo dõi mail'!B71, '6. data thông tin nhân sự'!B:B,0))</f>
        <v>Thoatt@newdaymedia.com.vn</v>
      </c>
      <c r="H71" s="374" t="str">
        <f>INDEX('6. data thông tin nhân sự'!N:N,MATCH('5. Theo dõi mail'!B71, '6. data thông tin nhân sự'!B:B,0))</f>
        <v>10/11/2025</v>
      </c>
      <c r="I71" s="379"/>
      <c r="J71" s="379"/>
      <c r="K71" s="378" t="s">
        <v>1092</v>
      </c>
      <c r="L71" s="356" t="s">
        <v>1110</v>
      </c>
      <c r="M71" s="378" t="s">
        <v>1103</v>
      </c>
      <c r="N71" s="551"/>
      <c r="O71" s="356"/>
      <c r="P71" s="356"/>
      <c r="Q71" s="356"/>
      <c r="R71" s="356"/>
      <c r="S71" s="356"/>
      <c r="T71" s="356"/>
      <c r="U71" s="356"/>
      <c r="V71" s="600" t="s">
        <v>1101</v>
      </c>
      <c r="W71" s="596" t="s">
        <v>1085</v>
      </c>
      <c r="X71" s="356"/>
      <c r="Y71" s="356"/>
      <c r="Z71" s="356"/>
      <c r="AA71" s="356"/>
      <c r="AB71" s="356" t="s">
        <v>1124</v>
      </c>
      <c r="AC71" s="603" t="s">
        <v>1136</v>
      </c>
      <c r="AD71" s="608"/>
    </row>
    <row r="72" spans="1:40" ht="16.5">
      <c r="A72" s="438">
        <f>IF(B72="","",SUBTOTAL(3,$B$6:B72))</f>
        <v>57</v>
      </c>
      <c r="B72" s="355">
        <v>25043</v>
      </c>
      <c r="C72" s="356" t="str">
        <f>INDEX('6. data thông tin nhân sự'!C:C, MATCH('5. Theo dõi mail'!B72, '6. data thông tin nhân sự'!B:B,0))</f>
        <v>Đỗ Mỹ Linh</v>
      </c>
      <c r="D72" s="356" t="str">
        <f>INDEX('6. data thông tin nhân sự'!D:D, MATCH('5. Theo dõi mail'!B72, '6. data thông tin nhân sự'!B:B,0))</f>
        <v>Chính thức</v>
      </c>
      <c r="E72" s="356" t="str">
        <f>INDEX('6. data thông tin nhân sự'!G:G, MATCH('5. Theo dõi mail'!B72, '6. data thông tin nhân sự'!B:B,0))</f>
        <v>Dự án - Project</v>
      </c>
      <c r="F72" s="356" t="str">
        <f>INDEX('6. data thông tin nhân sự'!H:H, MATCH('5. Theo dõi mail'!B72, '6. data thông tin nhân sự'!B:B,0))</f>
        <v>Concept Artist</v>
      </c>
      <c r="G72" s="356" t="str">
        <f>INDEX('6. data thông tin nhân sự'!L:L, MATCH('5. Theo dõi mail'!B72, '6. data thông tin nhân sự'!B:B,0))</f>
        <v>Linhdm@newdaymedia.com.vn</v>
      </c>
      <c r="H72" s="374" t="str">
        <f>INDEX('6. data thông tin nhân sự'!N:N,MATCH('5. Theo dõi mail'!B72, '6. data thông tin nhân sự'!B:B,0))</f>
        <v>08/12/2025</v>
      </c>
      <c r="I72" s="379"/>
      <c r="J72" s="379"/>
      <c r="K72" s="378" t="s">
        <v>1092</v>
      </c>
      <c r="L72" s="356" t="s">
        <v>1110</v>
      </c>
      <c r="M72" s="378" t="s">
        <v>1103</v>
      </c>
      <c r="N72" s="551"/>
      <c r="O72" s="356"/>
      <c r="P72" s="356"/>
      <c r="Q72" s="356"/>
      <c r="R72" s="356"/>
      <c r="S72" s="356"/>
      <c r="T72" s="356"/>
      <c r="U72" s="356"/>
      <c r="V72" s="596" t="s">
        <v>1090</v>
      </c>
      <c r="W72" s="596" t="s">
        <v>1083</v>
      </c>
      <c r="X72" s="448" t="s">
        <v>1104</v>
      </c>
      <c r="Y72" s="449">
        <v>46219</v>
      </c>
      <c r="Z72" s="356" t="s">
        <v>1105</v>
      </c>
      <c r="AA72" s="356" t="s">
        <v>1105</v>
      </c>
      <c r="AB72" s="356"/>
      <c r="AC72" s="378" t="s">
        <v>1137</v>
      </c>
      <c r="AD72" s="605"/>
    </row>
    <row r="73" spans="1:40" ht="16.5">
      <c r="A73" s="438">
        <f>IF(B73="","",SUBTOTAL(3,$B$6:B73))</f>
        <v>58</v>
      </c>
      <c r="B73" s="355">
        <v>26024</v>
      </c>
      <c r="C73" s="356" t="str">
        <f>INDEX('6. data thông tin nhân sự'!C:C, MATCH('5. Theo dõi mail'!B73, '6. data thông tin nhân sự'!B:B,0))</f>
        <v>Văn Thị Hoàng Ngân</v>
      </c>
      <c r="D73" s="356" t="str">
        <f>INDEX('6. data thông tin nhân sự'!D:D, MATCH('5. Theo dõi mail'!B73, '6. data thông tin nhân sự'!B:B,0))</f>
        <v>Thử việc</v>
      </c>
      <c r="E73" s="356" t="str">
        <f>INDEX('6. data thông tin nhân sự'!G:G, MATCH('5. Theo dõi mail'!B73, '6. data thông tin nhân sự'!B:B,0))</f>
        <v>Dự án - Project</v>
      </c>
      <c r="F73" s="356" t="str">
        <f>INDEX('6. data thông tin nhân sự'!H:H, MATCH('5. Theo dõi mail'!B73, '6. data thông tin nhân sự'!B:B,0))</f>
        <v>Concept Artist</v>
      </c>
      <c r="G73" s="356" t="str">
        <f>INDEX('6. data thông tin nhân sự'!L:L, MATCH('5. Theo dõi mail'!B73, '6. data thông tin nhân sự'!B:B,0))</f>
        <v>Nganvth@newdaymedia.com.vn</v>
      </c>
      <c r="H73" s="374" t="str">
        <f>INDEX('6. data thông tin nhân sự'!N:N,MATCH('5. Theo dõi mail'!B73, '6. data thông tin nhân sự'!B:B,0))</f>
        <v>03/08/2026</v>
      </c>
      <c r="I73" s="379"/>
      <c r="J73" s="379"/>
      <c r="K73" s="378" t="s">
        <v>1092</v>
      </c>
      <c r="L73" s="356" t="s">
        <v>1102</v>
      </c>
      <c r="M73" s="378" t="s">
        <v>1103</v>
      </c>
      <c r="N73" s="551"/>
      <c r="O73" s="356"/>
      <c r="P73" s="356"/>
      <c r="Q73" s="356"/>
      <c r="R73" s="356"/>
      <c r="S73" s="356"/>
      <c r="T73" s="356"/>
      <c r="U73" s="356"/>
      <c r="V73" s="600" t="s">
        <v>1101</v>
      </c>
      <c r="W73" s="596" t="s">
        <v>1085</v>
      </c>
      <c r="X73" s="448"/>
      <c r="Y73" s="449"/>
      <c r="Z73" s="356"/>
      <c r="AA73" s="356"/>
      <c r="AB73" s="356"/>
      <c r="AC73" s="378"/>
      <c r="AD73" s="605"/>
    </row>
    <row r="74" spans="1:40" ht="15">
      <c r="A74" s="353" t="s">
        <v>1138</v>
      </c>
      <c r="B74" s="354"/>
      <c r="C74" s="354"/>
      <c r="D74" s="354"/>
      <c r="E74" s="354"/>
      <c r="F74" s="354"/>
      <c r="G74" s="354"/>
      <c r="H74" s="408"/>
      <c r="I74" s="408"/>
      <c r="J74" s="408"/>
      <c r="K74" s="354"/>
      <c r="L74" s="441"/>
      <c r="M74" s="441"/>
      <c r="N74" s="550"/>
      <c r="O74" s="441"/>
      <c r="P74" s="441"/>
      <c r="Q74" s="441"/>
      <c r="R74" s="441"/>
      <c r="S74" s="441"/>
      <c r="T74" s="441"/>
      <c r="U74" s="441"/>
      <c r="V74" s="597"/>
      <c r="W74" s="597"/>
      <c r="X74" s="441"/>
      <c r="Y74" s="441"/>
      <c r="Z74" s="441"/>
      <c r="AA74" s="441"/>
      <c r="AB74" s="441"/>
      <c r="AC74" s="602"/>
      <c r="AD74" s="604"/>
    </row>
    <row r="75" spans="1:40" ht="16.5">
      <c r="A75" s="438">
        <f>IF(B75="","",SUBTOTAL(3,$B$6:B75))</f>
        <v>59</v>
      </c>
      <c r="B75" s="355">
        <v>19001</v>
      </c>
      <c r="C75" s="356" t="str">
        <f>INDEX('6. data thông tin nhân sự'!C:C, MATCH('5. Theo dõi mail'!B75, '6. data thông tin nhân sự'!B:B,0))</f>
        <v>Lê Quốc Quỳnh</v>
      </c>
      <c r="D75" s="356" t="str">
        <f>INDEX('6. data thông tin nhân sự'!D:D, MATCH('5. Theo dõi mail'!B75, '6. data thông tin nhân sự'!B:B,0))</f>
        <v>Chính thức</v>
      </c>
      <c r="E75" s="356" t="str">
        <f>INDEX('6. data thông tin nhân sự'!G:G, MATCH('5. Theo dõi mail'!B75, '6. data thông tin nhân sự'!B:B,0))</f>
        <v>Xưởng - Production</v>
      </c>
      <c r="F75" s="356" t="str">
        <f>INDEX('6. data thông tin nhân sự'!H:H, MATCH('5. Theo dõi mail'!B75, '6. data thông tin nhân sự'!B:B,0))</f>
        <v>Prodution Director</v>
      </c>
      <c r="G75" s="356" t="str">
        <f>INDEX('6. data thông tin nhân sự'!L:L, MATCH('5. Theo dõi mail'!B75, '6. data thông tin nhân sự'!B:B,0))</f>
        <v>quocquynh@newdaymedia.com.vn</v>
      </c>
      <c r="H75" s="374" t="str">
        <f>INDEX('6. data thông tin nhân sự'!N:N,MATCH('5. Theo dõi mail'!B75, '6. data thông tin nhân sự'!B:B,0))</f>
        <v>23/10/2019</v>
      </c>
      <c r="I75" s="379"/>
      <c r="J75" s="379"/>
      <c r="K75" s="378" t="s">
        <v>1092</v>
      </c>
      <c r="L75" s="356" t="s">
        <v>1102</v>
      </c>
      <c r="M75" s="378"/>
      <c r="N75" s="551"/>
      <c r="O75" s="378"/>
      <c r="P75" s="378"/>
      <c r="Q75" s="378"/>
      <c r="R75" s="378"/>
      <c r="S75" s="378"/>
      <c r="T75" s="378"/>
      <c r="U75" s="378"/>
      <c r="V75" s="599" t="s">
        <v>1107</v>
      </c>
      <c r="W75" s="596" t="s">
        <v>1084</v>
      </c>
      <c r="X75" s="356"/>
      <c r="Y75" s="356"/>
      <c r="Z75" s="356"/>
      <c r="AA75" s="356"/>
      <c r="AB75" s="356"/>
      <c r="AC75" s="378"/>
      <c r="AD75" s="605"/>
    </row>
    <row r="76" spans="1:40" ht="15">
      <c r="A76" s="353" t="s">
        <v>1139</v>
      </c>
      <c r="B76" s="354"/>
      <c r="C76" s="354"/>
      <c r="D76" s="354"/>
      <c r="E76" s="354"/>
      <c r="F76" s="354"/>
      <c r="G76" s="354"/>
      <c r="H76" s="408"/>
      <c r="I76" s="408"/>
      <c r="J76" s="408"/>
      <c r="K76" s="354"/>
      <c r="L76" s="441"/>
      <c r="M76" s="441"/>
      <c r="N76" s="550"/>
      <c r="O76" s="441"/>
      <c r="P76" s="441"/>
      <c r="Q76" s="441"/>
      <c r="R76" s="441"/>
      <c r="S76" s="441"/>
      <c r="T76" s="441"/>
      <c r="U76" s="441"/>
      <c r="V76" s="597"/>
      <c r="W76" s="597"/>
      <c r="X76" s="441"/>
      <c r="Y76" s="441"/>
      <c r="Z76" s="441"/>
      <c r="AA76" s="441"/>
      <c r="AB76" s="441"/>
      <c r="AC76" s="602"/>
      <c r="AD76" s="604"/>
    </row>
    <row r="77" spans="1:40" ht="16.5">
      <c r="A77" s="438">
        <f>IF(B77="","",SUBTOTAL(3,$B$6:B77))</f>
        <v>60</v>
      </c>
      <c r="B77" s="360" t="s">
        <v>1140</v>
      </c>
      <c r="C77" s="364" t="s">
        <v>1141</v>
      </c>
      <c r="D77" s="362"/>
      <c r="E77" s="363" t="s">
        <v>271</v>
      </c>
      <c r="F77" s="363" t="s">
        <v>271</v>
      </c>
      <c r="G77" s="364" t="s">
        <v>1142</v>
      </c>
      <c r="H77" s="374"/>
      <c r="I77" s="409"/>
      <c r="J77" s="409"/>
      <c r="K77" s="378" t="s">
        <v>1092</v>
      </c>
      <c r="L77" s="356" t="s">
        <v>1098</v>
      </c>
      <c r="M77" s="356"/>
      <c r="N77" s="549"/>
      <c r="O77" s="356"/>
      <c r="P77" s="356"/>
      <c r="Q77" s="356"/>
      <c r="R77" s="356"/>
      <c r="S77" s="356"/>
      <c r="T77" s="356"/>
      <c r="U77" s="356"/>
      <c r="V77" s="596"/>
      <c r="W77" s="596"/>
      <c r="X77" s="356"/>
      <c r="Y77" s="356"/>
      <c r="Z77" s="356"/>
      <c r="AA77" s="356"/>
      <c r="AB77" s="356"/>
      <c r="AC77" s="378"/>
      <c r="AD77" s="605"/>
    </row>
    <row r="78" spans="1:40" ht="16.5">
      <c r="A78" s="438">
        <f>IF(B78="","",SUBTOTAL(3,$B$6:B78))</f>
        <v>61</v>
      </c>
      <c r="B78" s="360" t="s">
        <v>1140</v>
      </c>
      <c r="C78" s="364" t="s">
        <v>1143</v>
      </c>
      <c r="D78" s="362"/>
      <c r="E78" s="363" t="s">
        <v>271</v>
      </c>
      <c r="F78" s="363" t="s">
        <v>271</v>
      </c>
      <c r="G78" s="365" t="s">
        <v>1144</v>
      </c>
      <c r="H78" s="374"/>
      <c r="I78" s="410"/>
      <c r="J78" s="410"/>
      <c r="K78" s="378" t="s">
        <v>1092</v>
      </c>
      <c r="L78" s="356" t="s">
        <v>1098</v>
      </c>
      <c r="M78" s="356"/>
      <c r="N78" s="549"/>
      <c r="O78" s="356"/>
      <c r="P78" s="356"/>
      <c r="Q78" s="356"/>
      <c r="R78" s="356"/>
      <c r="S78" s="356"/>
      <c r="T78" s="356"/>
      <c r="U78" s="356"/>
      <c r="V78" s="596"/>
      <c r="W78" s="596"/>
      <c r="X78" s="356"/>
      <c r="Y78" s="356"/>
      <c r="Z78" s="356"/>
      <c r="AA78" s="356"/>
      <c r="AB78" s="356"/>
      <c r="AC78" s="378"/>
      <c r="AD78" s="605"/>
    </row>
    <row r="79" spans="1:40" ht="16.5">
      <c r="A79" s="438">
        <f>IF(B79="","",SUBTOTAL(3,$B$6:B79))</f>
        <v>62</v>
      </c>
      <c r="B79" s="360" t="s">
        <v>1140</v>
      </c>
      <c r="C79" s="364" t="s">
        <v>1145</v>
      </c>
      <c r="D79" s="362"/>
      <c r="E79" s="363" t="s">
        <v>271</v>
      </c>
      <c r="F79" s="363" t="s">
        <v>271</v>
      </c>
      <c r="G79" s="380" t="s">
        <v>1146</v>
      </c>
      <c r="H79" s="374"/>
      <c r="I79" s="409"/>
      <c r="J79" s="409"/>
      <c r="K79" s="378" t="s">
        <v>1092</v>
      </c>
      <c r="L79" s="356" t="s">
        <v>1093</v>
      </c>
      <c r="M79" s="356"/>
      <c r="N79" s="549"/>
      <c r="O79" s="356"/>
      <c r="P79" s="356"/>
      <c r="Q79" s="356"/>
      <c r="R79" s="356"/>
      <c r="S79" s="356"/>
      <c r="T79" s="356"/>
      <c r="U79" s="356"/>
      <c r="V79" s="596"/>
      <c r="W79" s="596"/>
      <c r="X79" s="356"/>
      <c r="Y79" s="356"/>
      <c r="Z79" s="356"/>
      <c r="AA79" s="356"/>
      <c r="AB79" s="356"/>
      <c r="AC79" s="378"/>
      <c r="AD79" s="605"/>
    </row>
    <row r="80" spans="1:40" ht="16.5">
      <c r="A80" s="438">
        <f>IF(B80="","",SUBTOTAL(3,$B$6:B80))</f>
        <v>63</v>
      </c>
      <c r="B80" s="360" t="s">
        <v>1140</v>
      </c>
      <c r="C80" s="364" t="s">
        <v>1143</v>
      </c>
      <c r="D80" s="362"/>
      <c r="E80" s="363" t="s">
        <v>271</v>
      </c>
      <c r="F80" s="363" t="s">
        <v>271</v>
      </c>
      <c r="G80" s="364" t="s">
        <v>1147</v>
      </c>
      <c r="H80" s="374"/>
      <c r="I80" s="409"/>
      <c r="J80" s="409"/>
      <c r="K80" s="378" t="s">
        <v>1092</v>
      </c>
      <c r="L80" s="356" t="s">
        <v>1098</v>
      </c>
      <c r="M80" s="356"/>
      <c r="N80" s="549"/>
      <c r="O80" s="356"/>
      <c r="P80" s="356"/>
      <c r="Q80" s="356"/>
      <c r="R80" s="356"/>
      <c r="S80" s="356"/>
      <c r="T80" s="356"/>
      <c r="U80" s="356"/>
      <c r="V80" s="596"/>
      <c r="W80" s="596"/>
      <c r="X80" s="356"/>
      <c r="Y80" s="356"/>
      <c r="Z80" s="356"/>
      <c r="AA80" s="356"/>
      <c r="AB80" s="356"/>
      <c r="AC80" s="378"/>
      <c r="AD80" s="605"/>
    </row>
    <row r="81" spans="1:31" ht="21">
      <c r="A81" s="824" t="s">
        <v>1148</v>
      </c>
      <c r="B81" s="824"/>
      <c r="C81" s="824"/>
      <c r="D81" s="366"/>
      <c r="E81" s="367"/>
      <c r="F81" s="367"/>
      <c r="G81" s="367"/>
      <c r="H81" s="420"/>
      <c r="I81" s="411"/>
      <c r="J81" s="411"/>
      <c r="K81" s="367"/>
      <c r="L81" s="504" t="s">
        <v>1149</v>
      </c>
      <c r="M81" s="504" t="s">
        <v>1150</v>
      </c>
      <c r="N81" s="552" t="s">
        <v>104</v>
      </c>
      <c r="O81" s="504"/>
      <c r="P81" s="504"/>
      <c r="Q81" s="504"/>
      <c r="R81" s="504"/>
      <c r="S81" s="504"/>
      <c r="T81" s="504"/>
      <c r="U81" s="504"/>
    </row>
    <row r="82" spans="1:31" ht="15">
      <c r="A82" s="368">
        <v>1</v>
      </c>
      <c r="B82" s="369"/>
      <c r="C82" s="370" t="s">
        <v>1151</v>
      </c>
      <c r="D82" s="371" t="s">
        <v>1152</v>
      </c>
      <c r="E82" s="364" t="s">
        <v>160</v>
      </c>
      <c r="F82" s="364" t="s">
        <v>1153</v>
      </c>
      <c r="G82" s="364"/>
      <c r="H82" s="421"/>
      <c r="I82" s="381"/>
      <c r="J82" s="381"/>
      <c r="K82" s="372" t="s">
        <v>1154</v>
      </c>
      <c r="L82" s="373"/>
      <c r="M82" s="578"/>
      <c r="N82" s="553"/>
      <c r="O82" s="373"/>
      <c r="P82" s="373"/>
      <c r="Q82" s="373"/>
      <c r="R82" s="373"/>
      <c r="S82" s="373"/>
      <c r="T82" s="373"/>
      <c r="U82" s="373"/>
    </row>
    <row r="83" spans="1:31" ht="15">
      <c r="A83" s="368">
        <v>2</v>
      </c>
      <c r="B83" s="369"/>
      <c r="C83" s="370" t="s">
        <v>1010</v>
      </c>
      <c r="D83" s="371" t="s">
        <v>1152</v>
      </c>
      <c r="E83" s="364" t="s">
        <v>160</v>
      </c>
      <c r="F83" s="364" t="s">
        <v>1155</v>
      </c>
      <c r="G83" s="364"/>
      <c r="H83" s="421"/>
      <c r="I83" s="381"/>
      <c r="J83" s="381"/>
      <c r="K83" s="372" t="s">
        <v>1154</v>
      </c>
      <c r="L83" s="373"/>
      <c r="M83" s="578"/>
      <c r="N83" s="553"/>
      <c r="O83" s="373"/>
      <c r="P83" s="373"/>
      <c r="Q83" s="373"/>
      <c r="R83" s="373"/>
      <c r="S83" s="373"/>
      <c r="T83" s="373"/>
      <c r="U83" s="373"/>
    </row>
    <row r="84" spans="1:31" ht="15">
      <c r="A84" s="368">
        <v>3</v>
      </c>
      <c r="B84" s="369">
        <v>25004</v>
      </c>
      <c r="C84" s="356" t="str">
        <f>INDEX('6. data thông tin nhân sự'!C:C, MATCH('5. Theo dõi mail'!B84, '6. data thông tin nhân sự'!B:B,0))</f>
        <v>Vũ Tùng Lâm</v>
      </c>
      <c r="D84" s="356" t="str">
        <f>INDEX('6. data thông tin nhân sự'!D:D, MATCH('5. Theo dõi mail'!B84, '6. data thông tin nhân sự'!B:B,0))</f>
        <v xml:space="preserve">Nghỉ việc </v>
      </c>
      <c r="E84" s="356" t="str">
        <f>INDEX('6. data thông tin nhân sự'!G:G, MATCH('5. Theo dõi mail'!B84, '6. data thông tin nhân sự'!B:B,0))</f>
        <v>Sự kiện - Event</v>
      </c>
      <c r="F84" s="356" t="s">
        <v>1156</v>
      </c>
      <c r="G84" s="356" t="s">
        <v>1157</v>
      </c>
      <c r="H84" s="374" t="str">
        <f>INDEX('6. data thông tin nhân sự'!N:N,MATCH('5. Theo dõi mail'!B84, '6. data thông tin nhân sự'!B:B,0))</f>
        <v>24/03/2025</v>
      </c>
      <c r="I84" s="374">
        <f>INDEX('6. data thông tin nhân sự'!Y:Y,MATCH('5. Theo dõi mail'!B84, '6. data thông tin nhân sự'!B:B,0))</f>
        <v>45851</v>
      </c>
      <c r="J84" s="382"/>
      <c r="K84" s="372" t="s">
        <v>1154</v>
      </c>
      <c r="L84" s="373"/>
      <c r="M84" s="578"/>
      <c r="N84" s="553"/>
      <c r="O84" s="373"/>
      <c r="P84" s="373"/>
      <c r="Q84" s="373"/>
      <c r="R84" s="373"/>
      <c r="S84" s="373"/>
      <c r="T84" s="373"/>
      <c r="U84" s="373"/>
    </row>
    <row r="85" spans="1:31" ht="15">
      <c r="A85" s="368">
        <v>4</v>
      </c>
      <c r="B85" s="375">
        <v>25010</v>
      </c>
      <c r="C85" s="356" t="str">
        <f>INDEX('6. data thông tin nhân sự'!C:C, MATCH('5. Theo dõi mail'!B85, '6. data thông tin nhân sự'!B:B,0))</f>
        <v>Nguyễn Gia Phong</v>
      </c>
      <c r="D85" s="356" t="str">
        <f>INDEX('6. data thông tin nhân sự'!D:D, MATCH('5. Theo dõi mail'!B85, '6. data thông tin nhân sự'!B:B,0))</f>
        <v xml:space="preserve">Nghỉ việc </v>
      </c>
      <c r="E85" s="356" t="str">
        <f>INDEX('6. data thông tin nhân sự'!G:G, MATCH('5. Theo dõi mail'!B85, '6. data thông tin nhân sự'!B:B,0))</f>
        <v>Sản xuất Video - Video Prodution</v>
      </c>
      <c r="F85" s="356" t="s">
        <v>1158</v>
      </c>
      <c r="G85" s="356" t="s">
        <v>1159</v>
      </c>
      <c r="H85" s="374" t="str">
        <f>INDEX('6. data thông tin nhân sự'!N:N,MATCH('5. Theo dõi mail'!B85, '6. data thông tin nhân sự'!B:B,0))</f>
        <v>08/04/2025</v>
      </c>
      <c r="I85" s="374">
        <f>INDEX('6. data thông tin nhân sự'!Y:Y,MATCH('5. Theo dõi mail'!B85, '6. data thông tin nhân sự'!B:B,0))</f>
        <v>45855</v>
      </c>
      <c r="J85" s="382"/>
      <c r="K85" s="372" t="s">
        <v>1154</v>
      </c>
      <c r="L85" s="373"/>
      <c r="M85" s="578"/>
      <c r="N85" s="553"/>
      <c r="O85" s="373"/>
      <c r="P85" s="373"/>
      <c r="Q85" s="373"/>
      <c r="R85" s="373"/>
      <c r="S85" s="373"/>
      <c r="T85" s="373"/>
      <c r="U85" s="373"/>
    </row>
    <row r="86" spans="1:31" ht="15">
      <c r="A86" s="368">
        <v>5</v>
      </c>
      <c r="B86" s="375">
        <v>22005</v>
      </c>
      <c r="C86" s="356" t="str">
        <f>INDEX('6. data thông tin nhân sự'!C:C, MATCH('5. Theo dõi mail'!B86, '6. data thông tin nhân sự'!B:B,0))</f>
        <v>Nguyễn Ngọc Minh Uyên</v>
      </c>
      <c r="D86" s="356" t="str">
        <f>INDEX('6. data thông tin nhân sự'!D:D, MATCH('5. Theo dõi mail'!B86, '6. data thông tin nhân sự'!B:B,0))</f>
        <v xml:space="preserve">Nghỉ việc </v>
      </c>
      <c r="E86" s="356" t="str">
        <f>INDEX('6. data thông tin nhân sự'!G:G, MATCH('5. Theo dõi mail'!B86, '6. data thông tin nhân sự'!B:B,0))</f>
        <v>Sáng tạo - Creative</v>
      </c>
      <c r="F86" s="356" t="s">
        <v>1160</v>
      </c>
      <c r="G86" s="356" t="s">
        <v>1161</v>
      </c>
      <c r="H86" s="374" t="str">
        <f>INDEX('6. data thông tin nhân sự'!N:N,MATCH('5. Theo dõi mail'!B86, '6. data thông tin nhân sự'!B:B,0))</f>
        <v>15/09/2022</v>
      </c>
      <c r="I86" s="374">
        <f>INDEX('6. data thông tin nhân sự'!Y:Y,MATCH('5. Theo dõi mail'!B86, '6. data thông tin nhân sự'!B:B,0))</f>
        <v>45853</v>
      </c>
      <c r="J86" s="382"/>
      <c r="K86" s="372" t="s">
        <v>1154</v>
      </c>
      <c r="L86" s="376"/>
      <c r="M86" s="579">
        <v>45887</v>
      </c>
      <c r="N86" s="553"/>
      <c r="O86" s="376"/>
      <c r="P86" s="376"/>
      <c r="Q86" s="376"/>
      <c r="R86" s="376"/>
      <c r="S86" s="376"/>
      <c r="T86" s="376"/>
      <c r="U86" s="376"/>
      <c r="AE86" s="377"/>
    </row>
    <row r="87" spans="1:31" ht="15">
      <c r="A87" s="368">
        <v>6</v>
      </c>
      <c r="B87" s="355">
        <v>25016</v>
      </c>
      <c r="C87" s="356" t="str">
        <f>INDEX('6. data thông tin nhân sự'!C:C, MATCH('5. Theo dõi mail'!B87, '6. data thông tin nhân sự'!B:B,0))</f>
        <v xml:space="preserve">Nguyễn Thị Vân Dung </v>
      </c>
      <c r="D87" s="356" t="str">
        <f>INDEX('6. data thông tin nhân sự'!D:D, MATCH('5. Theo dõi mail'!B87, '6. data thông tin nhân sự'!B:B,0))</f>
        <v xml:space="preserve">Nghỉ việc </v>
      </c>
      <c r="E87" s="356" t="str">
        <f>INDEX('6. data thông tin nhân sự'!G:G, MATCH('5. Theo dõi mail'!B87, '6. data thông tin nhân sự'!B:B,0))</f>
        <v>Hành chính nhân sự - HR &amp; Admin</v>
      </c>
      <c r="F87" s="356" t="s">
        <v>1162</v>
      </c>
      <c r="G87" s="356" t="s">
        <v>1163</v>
      </c>
      <c r="H87" s="374" t="str">
        <f>INDEX('6. data thông tin nhân sự'!N:N,MATCH('5. Theo dõi mail'!B87, '6. data thông tin nhân sự'!B:B,0))</f>
        <v>23/06/2025</v>
      </c>
      <c r="I87" s="374">
        <f>INDEX('6. data thông tin nhân sự'!Y:Y,MATCH('5. Theo dõi mail'!B87, '6. data thông tin nhân sự'!B:B,0))</f>
        <v>45885</v>
      </c>
      <c r="J87" s="382"/>
      <c r="K87" s="378" t="s">
        <v>1154</v>
      </c>
      <c r="L87" s="376"/>
      <c r="M87" s="579">
        <v>45855</v>
      </c>
      <c r="N87" s="553"/>
      <c r="O87" s="376"/>
      <c r="P87" s="376"/>
      <c r="Q87" s="376"/>
      <c r="R87" s="376"/>
      <c r="S87" s="376"/>
      <c r="T87" s="376"/>
      <c r="U87" s="376"/>
    </row>
    <row r="88" spans="1:31" ht="15" customHeight="1">
      <c r="A88" s="368">
        <v>7</v>
      </c>
      <c r="B88" s="355">
        <v>25019</v>
      </c>
      <c r="C88" s="356" t="str">
        <f>INDEX('6. data thông tin nhân sự'!C:C, MATCH('5. Theo dõi mail'!B88, '6. data thông tin nhân sự'!B:B,0))</f>
        <v>Phạm Thanh Long</v>
      </c>
      <c r="D88" s="356" t="str">
        <f>INDEX('6. data thông tin nhân sự'!D:D, MATCH('5. Theo dõi mail'!B88, '6. data thông tin nhân sự'!B:B,0))</f>
        <v xml:space="preserve">Nghỉ việc </v>
      </c>
      <c r="E88" s="356" t="str">
        <f>INDEX('6. data thông tin nhân sự'!G:G, MATCH('5. Theo dõi mail'!B88, '6. data thông tin nhân sự'!B:B,0))</f>
        <v>Sự kiện - Event</v>
      </c>
      <c r="F88" s="356" t="s">
        <v>1164</v>
      </c>
      <c r="G88" s="356" t="s">
        <v>1165</v>
      </c>
      <c r="H88" s="374" t="str">
        <f>INDEX('6. data thông tin nhân sự'!N:N,MATCH('5. Theo dõi mail'!B88, '6. data thông tin nhân sự'!B:B,0))</f>
        <v>01/07/2025</v>
      </c>
      <c r="I88" s="374">
        <f>INDEX('6. data thông tin nhân sự'!Y:Y,MATCH('5. Theo dõi mail'!B88, '6. data thông tin nhân sự'!B:B,0))</f>
        <v>45885</v>
      </c>
      <c r="J88" s="382"/>
      <c r="K88" s="372" t="s">
        <v>1154</v>
      </c>
      <c r="L88" s="376"/>
      <c r="M88" s="579">
        <v>45853</v>
      </c>
      <c r="N88" s="553"/>
      <c r="O88" s="376"/>
      <c r="P88" s="376"/>
      <c r="Q88" s="376"/>
      <c r="R88" s="376"/>
      <c r="S88" s="376"/>
      <c r="T88" s="376"/>
      <c r="U88" s="376"/>
    </row>
    <row r="89" spans="1:31" ht="15" customHeight="1">
      <c r="A89" s="368">
        <v>8</v>
      </c>
      <c r="B89" s="355">
        <v>24002</v>
      </c>
      <c r="C89" s="356" t="str">
        <f>INDEX('6. data thông tin nhân sự'!C:C, MATCH('5. Theo dõi mail'!B89, '6. data thông tin nhân sự'!B:B,0))</f>
        <v>Phạm Thị Ánh Tuệ</v>
      </c>
      <c r="D89" s="356" t="str">
        <f>INDEX('6. data thông tin nhân sự'!D:D, MATCH('5. Theo dõi mail'!B89, '6. data thông tin nhân sự'!B:B,0))</f>
        <v xml:space="preserve">Nghỉ việc </v>
      </c>
      <c r="E89" s="356" t="str">
        <f>INDEX('6. data thông tin nhân sự'!G:G, MATCH('5. Theo dõi mail'!B89, '6. data thông tin nhân sự'!B:B,0))</f>
        <v>Sự kiện - Event</v>
      </c>
      <c r="F89" s="356" t="s">
        <v>1166</v>
      </c>
      <c r="G89" s="356" t="s">
        <v>1167</v>
      </c>
      <c r="H89" s="374" t="str">
        <f>INDEX('6. data thông tin nhân sự'!N:N,MATCH('5. Theo dõi mail'!B89, '6. data thông tin nhân sự'!B:B,0))</f>
        <v>01/04/2024</v>
      </c>
      <c r="I89" s="374" t="str">
        <f>INDEX('6. data thông tin nhân sự'!Y:Y,MATCH('5. Theo dõi mail'!B89, '6. data thông tin nhân sự'!B:B,0))</f>
        <v>13/09/2025</v>
      </c>
      <c r="J89" s="382"/>
      <c r="K89" s="372" t="s">
        <v>1154</v>
      </c>
      <c r="L89" s="376"/>
      <c r="M89" s="579">
        <v>45903</v>
      </c>
      <c r="N89" s="553"/>
      <c r="O89" s="376"/>
      <c r="P89" s="376"/>
      <c r="Q89" s="376"/>
      <c r="R89" s="376"/>
      <c r="S89" s="376"/>
      <c r="T89" s="376"/>
      <c r="U89" s="376"/>
      <c r="AE89" s="377"/>
    </row>
    <row r="90" spans="1:31" ht="15" customHeight="1">
      <c r="A90" s="368">
        <v>9</v>
      </c>
      <c r="B90" s="355">
        <v>25006</v>
      </c>
      <c r="C90" s="356" t="str">
        <f>INDEX('6. data thông tin nhân sự'!C:C, MATCH('5. Theo dõi mail'!B90, '6. data thông tin nhân sự'!B:B,0))</f>
        <v>Nguyễn Phó Đại</v>
      </c>
      <c r="D90" s="356" t="str">
        <f>INDEX('6. data thông tin nhân sự'!D:D, MATCH('5. Theo dõi mail'!B90, '6. data thông tin nhân sự'!B:B,0))</f>
        <v xml:space="preserve">Nghỉ việc </v>
      </c>
      <c r="E90" s="356" t="str">
        <f>INDEX('6. data thông tin nhân sự'!G:G, MATCH('5. Theo dõi mail'!B90, '6. data thông tin nhân sự'!B:B,0))</f>
        <v>Xưởng - Production</v>
      </c>
      <c r="F90" s="356" t="s">
        <v>1168</v>
      </c>
      <c r="G90" s="356" t="s">
        <v>1169</v>
      </c>
      <c r="H90" s="374" t="str">
        <f>INDEX('6. data thông tin nhân sự'!N:N,MATCH('5. Theo dõi mail'!B90, '6. data thông tin nhân sự'!B:B,0))</f>
        <v>01/04/2025</v>
      </c>
      <c r="I90" s="374">
        <f>INDEX('6. data thông tin nhân sự'!Y:Y,MATCH('5. Theo dõi mail'!B90, '6. data thông tin nhân sự'!B:B,0))</f>
        <v>45929</v>
      </c>
      <c r="J90" s="382"/>
      <c r="K90" s="378"/>
      <c r="L90" s="373"/>
      <c r="M90" s="578"/>
      <c r="N90" s="553"/>
      <c r="O90" s="373"/>
      <c r="P90" s="373"/>
      <c r="Q90" s="373"/>
      <c r="R90" s="373"/>
      <c r="S90" s="373"/>
      <c r="T90" s="373"/>
      <c r="U90" s="373"/>
    </row>
    <row r="91" spans="1:31" ht="15" customHeight="1">
      <c r="A91" s="368">
        <v>10</v>
      </c>
      <c r="B91" s="355">
        <v>25013</v>
      </c>
      <c r="C91" s="356" t="str">
        <f>INDEX('6. data thông tin nhân sự'!C:C, MATCH('5. Theo dõi mail'!B91, '6. data thông tin nhân sự'!B:B,0))</f>
        <v>Bùi Thị Quý Thương</v>
      </c>
      <c r="D91" s="356" t="str">
        <f>INDEX('6. data thông tin nhân sự'!D:D, MATCH('5. Theo dõi mail'!B91, '6. data thông tin nhân sự'!B:B,0))</f>
        <v xml:space="preserve">Nghỉ việc </v>
      </c>
      <c r="E91" s="356" t="str">
        <f>INDEX('6. data thông tin nhân sự'!G:G, MATCH('5. Theo dõi mail'!B91, '6. data thông tin nhân sự'!B:B,0))</f>
        <v>Tài chính &amp; Kế toán  - Finance &amp; Accounting</v>
      </c>
      <c r="F91" s="356" t="s">
        <v>1170</v>
      </c>
      <c r="G91" s="356" t="s">
        <v>1171</v>
      </c>
      <c r="H91" s="374" t="str">
        <f>INDEX('6. data thông tin nhân sự'!N:N,MATCH('5. Theo dõi mail'!B91, '6. data thông tin nhân sự'!B:B,0))</f>
        <v>16/06/2025</v>
      </c>
      <c r="I91" s="374">
        <f>INDEX('6. data thông tin nhân sự'!Y:Y,MATCH('5. Theo dõi mail'!B91, '6. data thông tin nhân sự'!B:B,0))</f>
        <v>45929</v>
      </c>
      <c r="J91" s="382"/>
      <c r="K91" s="372" t="s">
        <v>1154</v>
      </c>
      <c r="L91" s="376"/>
      <c r="M91" s="579">
        <v>45910</v>
      </c>
      <c r="N91" s="553"/>
      <c r="O91" s="376"/>
      <c r="P91" s="376"/>
      <c r="Q91" s="376"/>
      <c r="R91" s="376"/>
      <c r="S91" s="376"/>
      <c r="T91" s="376"/>
      <c r="U91" s="376"/>
      <c r="AE91" s="377"/>
    </row>
    <row r="92" spans="1:31" ht="15" customHeight="1">
      <c r="A92" s="368">
        <v>11</v>
      </c>
      <c r="B92" s="355">
        <v>25023</v>
      </c>
      <c r="C92" s="356" t="str">
        <f>INDEX('6. data thông tin nhân sự'!C:C, MATCH('5. Theo dõi mail'!B92, '6. data thông tin nhân sự'!B:B,0))</f>
        <v>Nguyễn Phương Ngọc</v>
      </c>
      <c r="D92" s="356" t="str">
        <f>INDEX('6. data thông tin nhân sự'!D:D, MATCH('5. Theo dõi mail'!B92, '6. data thông tin nhân sự'!B:B,0))</f>
        <v xml:space="preserve">Nghỉ việc </v>
      </c>
      <c r="E92" s="356" t="str">
        <f>INDEX('6. data thông tin nhân sự'!G:G, MATCH('5. Theo dõi mail'!B92, '6. data thông tin nhân sự'!B:B,0))</f>
        <v>Truyền thông - Marketing</v>
      </c>
      <c r="F92" s="356" t="s">
        <v>1172</v>
      </c>
      <c r="G92" s="356" t="s">
        <v>1173</v>
      </c>
      <c r="H92" s="374" t="str">
        <f>INDEX('6. data thông tin nhân sự'!N:N,MATCH('5. Theo dõi mail'!B92, '6. data thông tin nhân sự'!B:B,0))</f>
        <v>17/07/2025</v>
      </c>
      <c r="I92" s="374">
        <f>INDEX('6. data thông tin nhân sự'!Y:Y,MATCH('5. Theo dõi mail'!B92, '6. data thông tin nhân sự'!B:B,0))</f>
        <v>45953</v>
      </c>
      <c r="J92" s="382"/>
      <c r="K92" s="372" t="s">
        <v>1154</v>
      </c>
      <c r="L92" s="376"/>
      <c r="M92" s="579">
        <v>45936</v>
      </c>
      <c r="N92" s="553"/>
      <c r="O92" s="376"/>
      <c r="P92" s="376"/>
      <c r="Q92" s="376"/>
      <c r="R92" s="376"/>
      <c r="S92" s="376"/>
      <c r="T92" s="376"/>
      <c r="U92" s="376"/>
      <c r="AE92" s="377"/>
    </row>
    <row r="93" spans="1:31" ht="15" customHeight="1">
      <c r="A93" s="368">
        <v>12</v>
      </c>
      <c r="B93" s="358">
        <v>25024</v>
      </c>
      <c r="C93" s="356" t="str">
        <f>INDEX('6. data thông tin nhân sự'!C:C, MATCH('5. Theo dõi mail'!B93, '6. data thông tin nhân sự'!B:B,0))</f>
        <v>Phan Minh Anh</v>
      </c>
      <c r="D93" s="356" t="str">
        <f>INDEX('6. data thông tin nhân sự'!D:D, MATCH('5. Theo dõi mail'!B93, '6. data thông tin nhân sự'!B:B,0))</f>
        <v xml:space="preserve">Nghỉ việc </v>
      </c>
      <c r="E93" s="356" t="str">
        <f>INDEX('6. data thông tin nhân sự'!G:G, MATCH('5. Theo dõi mail'!B93, '6. data thông tin nhân sự'!B:B,0))</f>
        <v>Truyền thông - Marketing</v>
      </c>
      <c r="F93" s="356" t="s">
        <v>1172</v>
      </c>
      <c r="G93" s="356" t="s">
        <v>1174</v>
      </c>
      <c r="H93" s="374" t="str">
        <f>INDEX('6. data thông tin nhân sự'!N:N,MATCH('5. Theo dõi mail'!B93, '6. data thông tin nhân sự'!B:B,0))</f>
        <v>23/07/2025</v>
      </c>
      <c r="I93" s="374">
        <f>INDEX('6. data thông tin nhân sự'!Y:Y,MATCH('5. Theo dõi mail'!B93, '6. data thông tin nhân sự'!B:B,0))</f>
        <v>45954</v>
      </c>
      <c r="J93" s="382"/>
      <c r="K93" s="372" t="s">
        <v>1154</v>
      </c>
      <c r="L93" s="376"/>
      <c r="M93" s="579">
        <v>45936</v>
      </c>
      <c r="N93" s="553"/>
      <c r="O93" s="376"/>
      <c r="P93" s="376"/>
      <c r="Q93" s="376"/>
      <c r="R93" s="376"/>
      <c r="S93" s="376"/>
      <c r="T93" s="376"/>
      <c r="U93" s="376"/>
      <c r="AE93" s="377"/>
    </row>
    <row r="94" spans="1:31" ht="15" customHeight="1">
      <c r="A94" s="368">
        <v>13</v>
      </c>
      <c r="B94" s="355">
        <v>25031</v>
      </c>
      <c r="C94" s="356" t="str">
        <f>INDEX('6. data thông tin nhân sự'!C:C, MATCH('5. Theo dõi mail'!B94, '6. data thông tin nhân sự'!B:B,0))</f>
        <v>Nguyễn Thị Quỳnh Nga</v>
      </c>
      <c r="D94" s="356" t="str">
        <f>INDEX('6. data thông tin nhân sự'!D:D, MATCH('5. Theo dõi mail'!B94, '6. data thông tin nhân sự'!B:B,0))</f>
        <v xml:space="preserve">Nghỉ việc </v>
      </c>
      <c r="E94" s="356" t="str">
        <f>INDEX('6. data thông tin nhân sự'!G:G, MATCH('5. Theo dõi mail'!B94, '6. data thông tin nhân sự'!B:B,0))</f>
        <v>Tài chính &amp; Kế toán  - Finance &amp; Accounting</v>
      </c>
      <c r="F94" s="356" t="s">
        <v>1170</v>
      </c>
      <c r="G94" s="356" t="s">
        <v>1175</v>
      </c>
      <c r="H94" s="374" t="str">
        <f>INDEX('6. data thông tin nhân sự'!N:N,MATCH('5. Theo dõi mail'!B94, '6. data thông tin nhân sự'!B:B,0))</f>
        <v>03/09/2025</v>
      </c>
      <c r="I94" s="374">
        <f>INDEX('6. data thông tin nhân sự'!Y:Y,MATCH('5. Theo dõi mail'!B94, '6. data thông tin nhân sự'!B:B,0))</f>
        <v>45967</v>
      </c>
      <c r="J94" s="382"/>
      <c r="K94" s="372" t="s">
        <v>1154</v>
      </c>
      <c r="L94" s="376"/>
      <c r="M94" s="579">
        <v>45955</v>
      </c>
      <c r="N94" s="553"/>
      <c r="O94" s="376"/>
      <c r="P94" s="376"/>
      <c r="Q94" s="376"/>
      <c r="R94" s="376"/>
      <c r="S94" s="376"/>
      <c r="T94" s="376"/>
      <c r="U94" s="376"/>
      <c r="AE94" s="377"/>
    </row>
    <row r="95" spans="1:31" ht="15" customHeight="1">
      <c r="A95" s="368">
        <v>14</v>
      </c>
      <c r="B95" s="355">
        <v>25029</v>
      </c>
      <c r="C95" s="356" t="str">
        <f>INDEX('6. data thông tin nhân sự'!C:C, MATCH('5. Theo dõi mail'!B95, '6. data thông tin nhân sự'!B:B,0))</f>
        <v>Đinh Ngọc Thành</v>
      </c>
      <c r="D95" s="356" t="str">
        <f>INDEX('6. data thông tin nhân sự'!D:D, MATCH('5. Theo dõi mail'!B95, '6. data thông tin nhân sự'!B:B,0))</f>
        <v xml:space="preserve">Nghỉ việc </v>
      </c>
      <c r="E95" s="356" t="str">
        <f>INDEX('6. data thông tin nhân sự'!G:G, MATCH('5. Theo dõi mail'!B95, '6. data thông tin nhân sự'!B:B,0))</f>
        <v>Thiết kế - Design</v>
      </c>
      <c r="F95" s="356" t="s">
        <v>1176</v>
      </c>
      <c r="G95" s="356" t="s">
        <v>1177</v>
      </c>
      <c r="H95" s="374" t="str">
        <f>INDEX('6. data thông tin nhân sự'!N:N,MATCH('5. Theo dõi mail'!B95, '6. data thông tin nhân sự'!B:B,0))</f>
        <v>18/08/2025</v>
      </c>
      <c r="I95" s="374">
        <f>INDEX('6. data thông tin nhân sự'!Y:Y,MATCH('5. Theo dõi mail'!B95, '6. data thông tin nhân sự'!B:B,0))</f>
        <v>45981</v>
      </c>
      <c r="J95" s="382"/>
      <c r="K95" s="372" t="s">
        <v>1154</v>
      </c>
      <c r="L95" s="376"/>
      <c r="M95" s="579">
        <v>45954</v>
      </c>
      <c r="N95" s="553"/>
      <c r="O95" s="376"/>
      <c r="P95" s="376"/>
      <c r="Q95" s="376"/>
      <c r="R95" s="376"/>
      <c r="S95" s="376"/>
      <c r="T95" s="376"/>
      <c r="U95" s="376"/>
    </row>
    <row r="96" spans="1:31" ht="15" customHeight="1">
      <c r="A96" s="368">
        <v>15</v>
      </c>
      <c r="B96" s="355">
        <v>25036</v>
      </c>
      <c r="C96" s="356" t="str">
        <f>INDEX('6. data thông tin nhân sự'!C:C, MATCH('5. Theo dõi mail'!B96, '6. data thông tin nhân sự'!B:B,0))</f>
        <v>Nguyễn Thị Thùy Linh</v>
      </c>
      <c r="D96" s="356" t="str">
        <f>INDEX('6. data thông tin nhân sự'!D:D, MATCH('5. Theo dõi mail'!B96, '6. data thông tin nhân sự'!B:B,0))</f>
        <v xml:space="preserve">Nghỉ việc </v>
      </c>
      <c r="E96" s="356" t="str">
        <f>INDEX('6. data thông tin nhân sự'!G:G, MATCH('5. Theo dõi mail'!B96, '6. data thông tin nhân sự'!B:B,0))</f>
        <v>Hành chính nhân sự - HR &amp; Admin</v>
      </c>
      <c r="F96" s="356" t="s">
        <v>1178</v>
      </c>
      <c r="G96" s="356" t="s">
        <v>1179</v>
      </c>
      <c r="H96" s="374" t="str">
        <f>INDEX('6. data thông tin nhân sự'!N:N,MATCH('5. Theo dõi mail'!B96, '6. data thông tin nhân sự'!B:B,0))</f>
        <v>30/10/2025</v>
      </c>
      <c r="I96" s="374">
        <f>INDEX('6. data thông tin nhân sự'!Y:Y,MATCH('5. Theo dõi mail'!B96, '6. data thông tin nhân sự'!B:B,0))</f>
        <v>45994</v>
      </c>
      <c r="J96" s="382"/>
      <c r="K96" s="372" t="s">
        <v>1154</v>
      </c>
      <c r="L96" s="376"/>
      <c r="M96" s="579">
        <v>45967</v>
      </c>
      <c r="N96" s="553"/>
      <c r="O96" s="376"/>
      <c r="P96" s="376"/>
      <c r="Q96" s="376"/>
      <c r="R96" s="376"/>
      <c r="S96" s="376"/>
      <c r="T96" s="376"/>
      <c r="U96" s="376"/>
    </row>
    <row r="97" spans="1:40" ht="15" customHeight="1">
      <c r="A97" s="368">
        <v>16</v>
      </c>
      <c r="B97" s="355">
        <v>25035</v>
      </c>
      <c r="C97" s="356" t="str">
        <f>INDEX('6. data thông tin nhân sự'!C:C, MATCH('5. Theo dõi mail'!B97, '6. data thông tin nhân sự'!B:B,0))</f>
        <v>Trần Ánh Diệp</v>
      </c>
      <c r="D97" s="356" t="str">
        <f>INDEX('6. data thông tin nhân sự'!D:D, MATCH('5. Theo dõi mail'!B97, '6. data thông tin nhân sự'!B:B,0))</f>
        <v xml:space="preserve">Nghỉ việc </v>
      </c>
      <c r="E97" s="356" t="str">
        <f>INDEX('6. data thông tin nhân sự'!G:G, MATCH('5. Theo dõi mail'!B97, '6. data thông tin nhân sự'!B:B,0))</f>
        <v>Tài chính &amp; Kế toán  - Finance &amp; Accounting</v>
      </c>
      <c r="F97" s="356" t="s">
        <v>1170</v>
      </c>
      <c r="G97" s="356" t="s">
        <v>1180</v>
      </c>
      <c r="H97" s="374" t="str">
        <f>INDEX('6. data thông tin nhân sự'!N:N,MATCH('5. Theo dõi mail'!B97, '6. data thông tin nhân sự'!B:B,0))</f>
        <v>27/10/2025</v>
      </c>
      <c r="I97" s="374">
        <f>INDEX('6. data thông tin nhân sự'!Y:Y,MATCH('5. Theo dõi mail'!B97, '6. data thông tin nhân sự'!B:B,0))</f>
        <v>46042</v>
      </c>
      <c r="J97" s="382"/>
      <c r="K97" s="372" t="s">
        <v>1154</v>
      </c>
      <c r="L97" s="376"/>
      <c r="M97" s="579">
        <v>45981</v>
      </c>
      <c r="N97" s="553"/>
      <c r="O97" s="376"/>
      <c r="P97" s="376"/>
      <c r="Q97" s="376"/>
      <c r="R97" s="376"/>
      <c r="S97" s="376"/>
      <c r="T97" s="376"/>
      <c r="U97" s="376"/>
    </row>
    <row r="98" spans="1:40" ht="15" customHeight="1">
      <c r="A98" s="368">
        <v>17</v>
      </c>
      <c r="B98" s="355">
        <v>25014</v>
      </c>
      <c r="C98" s="356" t="str">
        <f>INDEX('6. data thông tin nhân sự'!C:C, MATCH('5. Theo dõi mail'!B98, '6. data thông tin nhân sự'!B:B,0))</f>
        <v>Nguyễn Tuấn Minh</v>
      </c>
      <c r="D98" s="356" t="str">
        <f>INDEX('6. data thông tin nhân sự'!D:D, MATCH('5. Theo dõi mail'!B98, '6. data thông tin nhân sự'!B:B,0))</f>
        <v xml:space="preserve">Nghỉ việc </v>
      </c>
      <c r="E98" s="356" t="str">
        <f>INDEX('6. data thông tin nhân sự'!G:G, MATCH('5. Theo dõi mail'!B98, '6. data thông tin nhân sự'!B:B,0))</f>
        <v>Sáng tạo - Creative</v>
      </c>
      <c r="F98" s="356" t="s">
        <v>1181</v>
      </c>
      <c r="G98" s="356" t="s">
        <v>1182</v>
      </c>
      <c r="H98" s="374" t="str">
        <f>INDEX('6. data thông tin nhân sự'!N:N,MATCH('5. Theo dõi mail'!B98, '6. data thông tin nhân sự'!B:B,0))</f>
        <v>18/06/2025</v>
      </c>
      <c r="I98" s="374">
        <f>INDEX('6. data thông tin nhân sự'!Y:Y,MATCH('5. Theo dõi mail'!B98, '6. data thông tin nhân sự'!B:B,0))</f>
        <v>46056</v>
      </c>
      <c r="J98" s="382"/>
      <c r="K98" s="372" t="s">
        <v>1154</v>
      </c>
      <c r="L98" s="376"/>
      <c r="M98" s="579">
        <v>45993</v>
      </c>
      <c r="N98" s="553"/>
      <c r="O98" s="376"/>
      <c r="P98" s="376"/>
      <c r="Q98" s="376"/>
      <c r="R98" s="376"/>
      <c r="S98" s="376"/>
      <c r="T98" s="376"/>
      <c r="U98" s="376"/>
      <c r="AE98" s="377"/>
    </row>
    <row r="99" spans="1:40" ht="15" customHeight="1">
      <c r="A99" s="368">
        <v>18</v>
      </c>
      <c r="B99" s="355">
        <v>15001</v>
      </c>
      <c r="C99" s="356" t="str">
        <f>INDEX('6. data thông tin nhân sự'!C:C, MATCH('5. Theo dõi mail'!B99, '6. data thông tin nhân sự'!B:B,0))</f>
        <v>Lê Văn Kha</v>
      </c>
      <c r="D99" s="356" t="str">
        <f>INDEX('6. data thông tin nhân sự'!D:D, MATCH('5. Theo dõi mail'!B99, '6. data thông tin nhân sự'!B:B,0))</f>
        <v xml:space="preserve">Nghỉ việc </v>
      </c>
      <c r="E99" s="356" t="str">
        <f>INDEX('6. data thông tin nhân sự'!G:G, MATCH('5. Theo dõi mail'!B99, '6. data thông tin nhân sự'!B:B,0))</f>
        <v>Sự kiện - Event</v>
      </c>
      <c r="F99" s="356" t="s">
        <v>1183</v>
      </c>
      <c r="G99" s="356" t="s">
        <v>1184</v>
      </c>
      <c r="H99" s="374" t="str">
        <f>INDEX('6. data thông tin nhân sự'!N:N,MATCH('5. Theo dõi mail'!B99, '6. data thông tin nhân sự'!B:B,0))</f>
        <v>28/12/2015</v>
      </c>
      <c r="I99" s="374">
        <f>INDEX('6. data thông tin nhân sự'!Y:Y,MATCH('5. Theo dõi mail'!B99, '6. data thông tin nhân sự'!B:B,0))</f>
        <v>46058</v>
      </c>
      <c r="J99" s="382"/>
      <c r="K99" s="356" t="s">
        <v>1185</v>
      </c>
      <c r="L99" s="376"/>
      <c r="M99" s="579"/>
      <c r="N99" s="553"/>
      <c r="O99" s="376"/>
      <c r="P99" s="376"/>
      <c r="Q99" s="376"/>
      <c r="R99" s="376"/>
      <c r="S99" s="376"/>
      <c r="T99" s="376"/>
      <c r="U99" s="376"/>
    </row>
    <row r="100" spans="1:40" ht="15" customHeight="1">
      <c r="A100" s="368">
        <v>19</v>
      </c>
      <c r="B100" s="355">
        <v>26002</v>
      </c>
      <c r="C100" s="356" t="str">
        <f>INDEX('6. data thông tin nhân sự'!C:C, MATCH('5. Theo dõi mail'!B100, '6. data thông tin nhân sự'!B:B,0))</f>
        <v>Tạ Thanh Tùng</v>
      </c>
      <c r="D100" s="356" t="str">
        <f>INDEX('6. data thông tin nhân sự'!D:D, MATCH('5. Theo dõi mail'!B100, '6. data thông tin nhân sự'!B:B,0))</f>
        <v xml:space="preserve">Nghỉ việc </v>
      </c>
      <c r="E100" s="356" t="str">
        <f>INDEX('6. data thông tin nhân sự'!G:G, MATCH('5. Theo dõi mail'!B100, '6. data thông tin nhân sự'!B:B,0))</f>
        <v>Dự án - Project</v>
      </c>
      <c r="F100" s="356" t="s">
        <v>1186</v>
      </c>
      <c r="G100" s="356" t="s">
        <v>1187</v>
      </c>
      <c r="H100" s="374" t="str">
        <f>INDEX('6. data thông tin nhân sự'!N:N,MATCH('5. Theo dõi mail'!B100, '6. data thông tin nhân sự'!B:B,0))</f>
        <v>21/01/2026</v>
      </c>
      <c r="I100" s="374">
        <f>INDEX('6. data thông tin nhân sự'!Y:Y,MATCH('5. Theo dõi mail'!B100, '6. data thông tin nhân sự'!B:B,0))</f>
        <v>46064</v>
      </c>
      <c r="J100" s="382"/>
      <c r="K100" s="372" t="s">
        <v>1154</v>
      </c>
      <c r="L100" s="376"/>
      <c r="M100" s="579">
        <v>46058</v>
      </c>
      <c r="N100" s="553"/>
      <c r="O100" s="376"/>
      <c r="P100" s="376"/>
      <c r="Q100" s="376"/>
      <c r="R100" s="376"/>
      <c r="S100" s="376"/>
      <c r="T100" s="376"/>
      <c r="U100" s="376"/>
    </row>
    <row r="101" spans="1:40" ht="15" customHeight="1">
      <c r="A101" s="368">
        <v>20</v>
      </c>
      <c r="B101" s="355">
        <v>23004</v>
      </c>
      <c r="C101" s="356" t="str">
        <f>INDEX('6. data thông tin nhân sự'!C:C, MATCH('5. Theo dõi mail'!B101, '6. data thông tin nhân sự'!B:B,0))</f>
        <v>Lương Văn Tuấn</v>
      </c>
      <c r="D101" s="356" t="str">
        <f>INDEX('6. data thông tin nhân sự'!D:D, MATCH('5. Theo dõi mail'!B101, '6. data thông tin nhân sự'!B:B,0))</f>
        <v xml:space="preserve">Nghỉ việc </v>
      </c>
      <c r="E101" s="356" t="str">
        <f>INDEX('6. data thông tin nhân sự'!G:G, MATCH('5. Theo dõi mail'!B101, '6. data thông tin nhân sự'!B:B,0))</f>
        <v>Thiết kế - Design</v>
      </c>
      <c r="F101" s="356" t="s">
        <v>1176</v>
      </c>
      <c r="G101" s="356" t="s">
        <v>1188</v>
      </c>
      <c r="H101" s="374" t="str">
        <f>INDEX('6. data thông tin nhân sự'!N:N,MATCH('5. Theo dõi mail'!B101, '6. data thông tin nhân sự'!B:B,0))</f>
        <v>08/05/2023</v>
      </c>
      <c r="I101" s="374">
        <f>INDEX('6. data thông tin nhân sự'!Y:Y,MATCH('5. Theo dõi mail'!B101, '6. data thông tin nhân sự'!B:B,0))</f>
        <v>46107</v>
      </c>
      <c r="J101" s="382"/>
      <c r="K101" s="372" t="s">
        <v>1154</v>
      </c>
      <c r="L101" s="379"/>
      <c r="M101" s="412">
        <v>46080</v>
      </c>
      <c r="N101" s="549"/>
      <c r="O101" s="379"/>
      <c r="P101" s="379"/>
      <c r="Q101" s="379"/>
      <c r="R101" s="379"/>
      <c r="S101" s="379"/>
      <c r="T101" s="379"/>
      <c r="U101" s="379"/>
    </row>
    <row r="102" spans="1:40" ht="15" customHeight="1">
      <c r="A102" s="368">
        <v>21</v>
      </c>
      <c r="B102" s="358">
        <v>25027</v>
      </c>
      <c r="C102" s="356" t="str">
        <f>INDEX('6. data thông tin nhân sự'!C:C, MATCH('5. Theo dõi mail'!B102, '6. data thông tin nhân sự'!B:B,0))</f>
        <v>Lê Trang Nhung</v>
      </c>
      <c r="D102" s="356" t="str">
        <f>INDEX('6. data thông tin nhân sự'!D:D, MATCH('5. Theo dõi mail'!B102, '6. data thông tin nhân sự'!B:B,0))</f>
        <v xml:space="preserve">Nghỉ việc </v>
      </c>
      <c r="E102" s="356" t="str">
        <f>INDEX('6. data thông tin nhân sự'!G:G, MATCH('5. Theo dõi mail'!B102, '6. data thông tin nhân sự'!B:B,0))</f>
        <v>Sự kiện - Event</v>
      </c>
      <c r="F102" s="356" t="s">
        <v>1189</v>
      </c>
      <c r="G102" s="356" t="s">
        <v>1190</v>
      </c>
      <c r="H102" s="374" t="str">
        <f>INDEX('6. data thông tin nhân sự'!N:N,MATCH('5. Theo dõi mail'!B102, '6. data thông tin nhân sự'!B:B,0))</f>
        <v>30/07/2025</v>
      </c>
      <c r="I102" s="374">
        <f>INDEX('6. data thông tin nhân sự'!Y:Y,MATCH('5. Theo dõi mail'!B102, '6. data thông tin nhân sự'!B:B,0))</f>
        <v>46091</v>
      </c>
      <c r="J102" s="382"/>
      <c r="K102" s="372" t="s">
        <v>1154</v>
      </c>
      <c r="L102" s="379"/>
      <c r="M102" s="412">
        <v>46064</v>
      </c>
      <c r="N102" s="549"/>
      <c r="O102" s="379"/>
      <c r="P102" s="379"/>
      <c r="Q102" s="379"/>
      <c r="R102" s="379"/>
      <c r="S102" s="379"/>
      <c r="T102" s="379"/>
      <c r="U102" s="379"/>
    </row>
    <row r="103" spans="1:40" ht="15" customHeight="1">
      <c r="A103" s="368">
        <v>22</v>
      </c>
      <c r="B103" s="355">
        <v>25037</v>
      </c>
      <c r="C103" s="356" t="str">
        <f>INDEX('6. data thông tin nhân sự'!C:C, MATCH('5. Theo dõi mail'!B103, '6. data thông tin nhân sự'!B:B,0))</f>
        <v>Trần Thị Huyền</v>
      </c>
      <c r="D103" s="356" t="str">
        <f>INDEX('6. data thông tin nhân sự'!D:D, MATCH('5. Theo dõi mail'!B103, '6. data thông tin nhân sự'!B:B,0))</f>
        <v xml:space="preserve">Nghỉ việc </v>
      </c>
      <c r="E103" s="356" t="str">
        <f>INDEX('6. data thông tin nhân sự'!G:G, MATCH('5. Theo dõi mail'!B103, '6. data thông tin nhân sự'!B:B,0))</f>
        <v>Hành chính nhân sự - HR &amp; Admin</v>
      </c>
      <c r="F103" s="356" t="s">
        <v>1178</v>
      </c>
      <c r="G103" s="356" t="s">
        <v>1191</v>
      </c>
      <c r="H103" s="374" t="str">
        <f>INDEX('6. data thông tin nhân sự'!N:N,MATCH('5. Theo dõi mail'!B103, '6. data thông tin nhân sự'!B:B,0))</f>
        <v>10/11/2025</v>
      </c>
      <c r="I103" s="374">
        <f>INDEX('6. data thông tin nhân sự'!Y:Y,MATCH('5. Theo dõi mail'!B103, '6. data thông tin nhân sự'!B:B,0))</f>
        <v>46080</v>
      </c>
      <c r="J103" s="382"/>
      <c r="K103" s="372" t="s">
        <v>1154</v>
      </c>
      <c r="L103" s="379"/>
      <c r="M103" s="412">
        <v>46064</v>
      </c>
      <c r="N103" s="549"/>
      <c r="O103" s="379"/>
      <c r="P103" s="379"/>
      <c r="Q103" s="379"/>
      <c r="R103" s="379"/>
      <c r="S103" s="379"/>
      <c r="T103" s="379"/>
      <c r="U103" s="379"/>
    </row>
    <row r="104" spans="1:40" ht="15" customHeight="1">
      <c r="A104" s="368">
        <v>23</v>
      </c>
      <c r="B104" s="355">
        <v>23003</v>
      </c>
      <c r="C104" s="356" t="str">
        <f>INDEX('6. data thông tin nhân sự'!C:C, MATCH('5. Theo dõi mail'!B104, '6. data thông tin nhân sự'!B:B,0))</f>
        <v>Đặng Nguyễn Trà My</v>
      </c>
      <c r="D104" s="356" t="str">
        <f>INDEX('6. data thông tin nhân sự'!D:D, MATCH('5. Theo dõi mail'!B104, '6. data thông tin nhân sự'!B:B,0))</f>
        <v xml:space="preserve">Nghỉ việc </v>
      </c>
      <c r="E104" s="356" t="str">
        <f>INDEX('6. data thông tin nhân sự'!G:G, MATCH('5. Theo dõi mail'!B104, '6. data thông tin nhân sự'!B:B,0))</f>
        <v>Sáng tạo - Creative</v>
      </c>
      <c r="F104" s="356" t="s">
        <v>1160</v>
      </c>
      <c r="G104" s="356" t="s">
        <v>1192</v>
      </c>
      <c r="H104" s="374" t="str">
        <f>INDEX('6. data thông tin nhân sự'!N:N,MATCH('5. Theo dõi mail'!B104, '6. data thông tin nhân sự'!B:B,0))</f>
        <v>04/05/2023</v>
      </c>
      <c r="I104" s="374">
        <f>INDEX('6. data thông tin nhân sự'!Y:Y,MATCH('5. Theo dõi mail'!B104, '6. data thông tin nhân sự'!B:B,0))</f>
        <v>46064</v>
      </c>
      <c r="J104" s="382"/>
      <c r="K104" s="372" t="s">
        <v>1154</v>
      </c>
      <c r="L104" s="379"/>
      <c r="M104" s="412">
        <v>46063</v>
      </c>
      <c r="N104" s="549"/>
      <c r="O104" s="379"/>
      <c r="P104" s="379"/>
      <c r="Q104" s="379"/>
      <c r="R104" s="379"/>
      <c r="S104" s="379"/>
      <c r="T104" s="379"/>
      <c r="U104" s="379"/>
    </row>
    <row r="105" spans="1:40" ht="15">
      <c r="A105" s="368">
        <v>24</v>
      </c>
      <c r="B105" s="360" t="s">
        <v>1140</v>
      </c>
      <c r="C105" s="356" t="s">
        <v>1193</v>
      </c>
      <c r="D105" s="356" t="s">
        <v>1194</v>
      </c>
      <c r="E105" s="356" t="s">
        <v>675</v>
      </c>
      <c r="F105" s="356" t="s">
        <v>1195</v>
      </c>
      <c r="G105" s="380" t="s">
        <v>1196</v>
      </c>
      <c r="H105" s="374">
        <v>45964</v>
      </c>
      <c r="I105" s="374">
        <v>46091</v>
      </c>
      <c r="J105" s="382"/>
      <c r="K105" s="372" t="s">
        <v>1154</v>
      </c>
      <c r="L105" s="379"/>
      <c r="M105" s="412">
        <v>46091</v>
      </c>
      <c r="N105" s="549"/>
      <c r="O105" s="379"/>
      <c r="P105" s="379"/>
      <c r="Q105" s="379"/>
      <c r="R105" s="379"/>
      <c r="S105" s="379"/>
      <c r="T105" s="379"/>
      <c r="U105" s="379"/>
    </row>
    <row r="106" spans="1:40" ht="15" customHeight="1">
      <c r="A106" s="368">
        <v>25</v>
      </c>
      <c r="B106" s="355">
        <v>25044</v>
      </c>
      <c r="C106" s="356" t="str">
        <f>INDEX('6. data thông tin nhân sự'!C:C, MATCH('5. Theo dõi mail'!B106, '6. data thông tin nhân sự'!B:B,0))</f>
        <v>Phạm Thị Kim Huệ</v>
      </c>
      <c r="D106" s="356" t="str">
        <f>INDEX('6. data thông tin nhân sự'!D:D, MATCH('5. Theo dõi mail'!B106, '6. data thông tin nhân sự'!B:B,0))</f>
        <v xml:space="preserve">Nghỉ việc </v>
      </c>
      <c r="E106" s="356" t="str">
        <f>INDEX('6. data thông tin nhân sự'!G:G, MATCH('5. Theo dõi mail'!B106, '6. data thông tin nhân sự'!B:B,0))</f>
        <v>Sản xuất Video - Video Prodution</v>
      </c>
      <c r="F106" s="356" t="s">
        <v>1197</v>
      </c>
      <c r="G106" s="356" t="s">
        <v>1198</v>
      </c>
      <c r="H106" s="374" t="str">
        <f>INDEX('6. data thông tin nhân sự'!N:N,MATCH('5. Theo dõi mail'!B106, '6. data thông tin nhân sự'!B:B,0))</f>
        <v>08/12/2025</v>
      </c>
      <c r="I106" s="374">
        <f>INDEX('6. data thông tin nhân sự'!Y:Y,MATCH('5. Theo dõi mail'!B106, '6. data thông tin nhân sự'!B:B,0))</f>
        <v>46112</v>
      </c>
      <c r="J106" s="382"/>
      <c r="K106" s="372" t="s">
        <v>1154</v>
      </c>
      <c r="L106" s="379"/>
      <c r="M106" s="412">
        <v>46107</v>
      </c>
      <c r="N106" s="549"/>
      <c r="O106" s="379"/>
      <c r="P106" s="379"/>
      <c r="Q106" s="379"/>
      <c r="R106" s="379"/>
      <c r="S106" s="379"/>
      <c r="T106" s="379"/>
      <c r="U106" s="379"/>
    </row>
    <row r="107" spans="1:40" ht="15" customHeight="1">
      <c r="A107" s="368">
        <v>26</v>
      </c>
      <c r="B107" s="355">
        <v>25001</v>
      </c>
      <c r="C107" s="356" t="str">
        <f>INDEX('6. data thông tin nhân sự'!C:C, MATCH('5. Theo dõi mail'!B107, '6. data thông tin nhân sự'!B:B,0))</f>
        <v>Phạm Phương Nhung</v>
      </c>
      <c r="D107" s="356" t="str">
        <f>INDEX('6. data thông tin nhân sự'!D:D, MATCH('5. Theo dõi mail'!B107, '6. data thông tin nhân sự'!B:B,0))</f>
        <v xml:space="preserve">Nghỉ việc </v>
      </c>
      <c r="E107" s="356" t="str">
        <f>INDEX('6. data thông tin nhân sự'!G:G, MATCH('5. Theo dõi mail'!B107, '6. data thông tin nhân sự'!B:B,0))</f>
        <v>Hành chính nhân sự - HR &amp; Admin</v>
      </c>
      <c r="F107" s="356" t="s">
        <v>1199</v>
      </c>
      <c r="G107" s="356" t="s">
        <v>1200</v>
      </c>
      <c r="H107" s="374" t="str">
        <f>INDEX('6. data thông tin nhân sự'!N:N,MATCH('5. Theo dõi mail'!B107, '6. data thông tin nhân sự'!B:B,0))</f>
        <v>18/02/2025</v>
      </c>
      <c r="I107" s="374">
        <f>INDEX('6. data thông tin nhân sự'!Y:Y,MATCH('5. Theo dõi mail'!B107, '6. data thông tin nhân sự'!B:B,0))</f>
        <v>46171</v>
      </c>
      <c r="J107" s="382"/>
      <c r="K107" s="372" t="s">
        <v>1154</v>
      </c>
      <c r="L107" s="379"/>
      <c r="M107" s="412">
        <v>46113</v>
      </c>
      <c r="N107" s="549"/>
      <c r="O107" s="379"/>
      <c r="P107" s="379"/>
      <c r="Q107" s="379"/>
      <c r="R107" s="379"/>
      <c r="S107" s="379"/>
      <c r="T107" s="379"/>
      <c r="U107" s="379"/>
    </row>
    <row r="108" spans="1:40" ht="15" customHeight="1">
      <c r="A108" s="368">
        <v>27</v>
      </c>
      <c r="B108" s="355">
        <v>24008</v>
      </c>
      <c r="C108" s="356" t="str">
        <f>INDEX('6. data thông tin nhân sự'!C:C, MATCH('5. Theo dõi mail'!B108, '6. data thông tin nhân sự'!B:B,0))</f>
        <v>Trần Thành Mai Hương</v>
      </c>
      <c r="D108" s="356" t="str">
        <f>INDEX('6. data thông tin nhân sự'!D:D, MATCH('5. Theo dõi mail'!B108, '6. data thông tin nhân sự'!B:B,0))</f>
        <v xml:space="preserve">Nghỉ việc </v>
      </c>
      <c r="E108" s="356" t="str">
        <f>INDEX('6. data thông tin nhân sự'!G:G, MATCH('5. Theo dõi mail'!B108, '6. data thông tin nhân sự'!B:B,0))</f>
        <v>Truyền thông - Marketing</v>
      </c>
      <c r="F108" s="356" t="s">
        <v>1201</v>
      </c>
      <c r="G108" s="356" t="s">
        <v>1202</v>
      </c>
      <c r="H108" s="374" t="str">
        <f>INDEX('6. data thông tin nhân sự'!N:N,MATCH('5. Theo dõi mail'!B108, '6. data thông tin nhân sự'!B:B,0))</f>
        <v>28/10/2024</v>
      </c>
      <c r="I108" s="374">
        <f>INDEX('6. data thông tin nhân sự'!Y:Y,MATCH('5. Theo dõi mail'!B108, '6. data thông tin nhân sự'!B:B,0))</f>
        <v>46112</v>
      </c>
      <c r="J108" s="382"/>
      <c r="K108" s="372" t="s">
        <v>1154</v>
      </c>
      <c r="L108" s="381"/>
      <c r="M108" s="381">
        <v>46141</v>
      </c>
      <c r="N108" s="549"/>
      <c r="O108" s="381"/>
      <c r="P108" s="381"/>
      <c r="Q108" s="381"/>
      <c r="R108" s="381"/>
      <c r="S108" s="381"/>
      <c r="T108" s="381"/>
      <c r="U108" s="381"/>
    </row>
    <row r="109" spans="1:40" ht="15" customHeight="1">
      <c r="A109" s="368">
        <v>28</v>
      </c>
      <c r="B109" s="355">
        <v>25018</v>
      </c>
      <c r="C109" s="356" t="str">
        <f>INDEX('6. data thông tin nhân sự'!C:C, MATCH('5. Theo dõi mail'!B109, '6. data thông tin nhân sự'!B:B,0))</f>
        <v>Nguỵ Thị Vân Anh</v>
      </c>
      <c r="D109" s="356" t="str">
        <f>INDEX('6. data thông tin nhân sự'!D:D, MATCH('5. Theo dõi mail'!B109, '6. data thông tin nhân sự'!B:B,0))</f>
        <v xml:space="preserve">Nghỉ việc </v>
      </c>
      <c r="E109" s="356" t="str">
        <f>INDEX('6. data thông tin nhân sự'!G:G, MATCH('5. Theo dõi mail'!B109, '6. data thông tin nhân sự'!B:B,0))</f>
        <v>Truyền thông - Marketing</v>
      </c>
      <c r="F109" s="356" t="s">
        <v>1195</v>
      </c>
      <c r="G109" s="356" t="s">
        <v>1203</v>
      </c>
      <c r="H109" s="374" t="str">
        <f>INDEX('6. data thông tin nhân sự'!N:N,MATCH('5. Theo dõi mail'!B109, '6. data thông tin nhân sự'!B:B,0))</f>
        <v>20/02/2025</v>
      </c>
      <c r="I109" s="374">
        <f>INDEX('6. data thông tin nhân sự'!Y:Y,MATCH('5. Theo dõi mail'!B109, '6. data thông tin nhân sự'!B:B,0))</f>
        <v>46157</v>
      </c>
      <c r="J109" s="382"/>
      <c r="K109" s="372" t="s">
        <v>1154</v>
      </c>
      <c r="L109" s="381"/>
      <c r="M109" s="381">
        <v>46141</v>
      </c>
      <c r="N109" s="549"/>
      <c r="O109" s="381"/>
      <c r="P109" s="381"/>
      <c r="Q109" s="381"/>
      <c r="R109" s="381"/>
      <c r="S109" s="381"/>
      <c r="T109" s="381"/>
      <c r="U109" s="381"/>
      <c r="AE109" s="338"/>
      <c r="AF109" s="338"/>
      <c r="AG109" s="338"/>
      <c r="AH109" s="338"/>
      <c r="AI109" s="338"/>
      <c r="AJ109" s="338"/>
      <c r="AK109" s="338"/>
      <c r="AL109" s="338"/>
      <c r="AM109" s="338"/>
      <c r="AN109" s="338"/>
    </row>
    <row r="110" spans="1:40" ht="15" customHeight="1">
      <c r="A110" s="368">
        <v>29</v>
      </c>
      <c r="B110" s="355">
        <v>26009</v>
      </c>
      <c r="C110" s="356" t="str">
        <f>INDEX('6. data thông tin nhân sự'!C:C, MATCH('5. Theo dõi mail'!B110, '6. data thông tin nhân sự'!B:B,0))</f>
        <v>Nguyễn Cát Tường Anh</v>
      </c>
      <c r="D110" s="356" t="str">
        <f>INDEX('6. data thông tin nhân sự'!D:D, MATCH('5. Theo dõi mail'!B110, '6. data thông tin nhân sự'!B:B,0))</f>
        <v xml:space="preserve">Nghỉ việc </v>
      </c>
      <c r="E110" s="356" t="str">
        <f>INDEX('6. data thông tin nhân sự'!G:G, MATCH('5. Theo dõi mail'!B110, '6. data thông tin nhân sự'!B:B,0))</f>
        <v>Truyền thông - Marketing</v>
      </c>
      <c r="F110" s="356" t="s">
        <v>1204</v>
      </c>
      <c r="G110" s="356" t="s">
        <v>1205</v>
      </c>
      <c r="H110" s="374" t="str">
        <f>INDEX('6. data thông tin nhân sự'!N:N,MATCH('5. Theo dõi mail'!B110, '6. data thông tin nhân sự'!B:B,0))</f>
        <v>30/03/2026</v>
      </c>
      <c r="I110" s="374">
        <f>INDEX('6. data thông tin nhân sự'!Y:Y,MATCH('5. Theo dõi mail'!B110, '6. data thông tin nhân sự'!B:B,0))</f>
        <v>46162</v>
      </c>
      <c r="J110" s="382"/>
      <c r="K110" s="372" t="s">
        <v>1154</v>
      </c>
      <c r="L110" s="381"/>
      <c r="M110" s="381">
        <v>46162</v>
      </c>
      <c r="N110" s="549"/>
      <c r="O110" s="381"/>
      <c r="P110" s="381"/>
      <c r="Q110" s="381"/>
      <c r="R110" s="381"/>
      <c r="S110" s="381"/>
      <c r="T110" s="381"/>
      <c r="U110" s="381"/>
      <c r="AE110" s="338"/>
      <c r="AF110" s="338"/>
      <c r="AG110" s="338"/>
      <c r="AH110" s="338"/>
      <c r="AI110" s="338"/>
      <c r="AJ110" s="338"/>
      <c r="AK110" s="338"/>
      <c r="AL110" s="338"/>
      <c r="AM110" s="338"/>
      <c r="AN110" s="338"/>
    </row>
    <row r="111" spans="1:40" ht="15" customHeight="1">
      <c r="A111" s="368">
        <v>30</v>
      </c>
      <c r="B111" s="355">
        <v>23005</v>
      </c>
      <c r="C111" s="356" t="str">
        <f>INDEX('6. data thông tin nhân sự'!C:C, MATCH('5. Theo dõi mail'!B111, '6. data thông tin nhân sự'!B:B,0))</f>
        <v>Phan Lê Minh Khôi</v>
      </c>
      <c r="D111" s="356" t="str">
        <f>INDEX('6. data thông tin nhân sự'!D:D, MATCH('5. Theo dõi mail'!B111, '6. data thông tin nhân sự'!B:B,0))</f>
        <v xml:space="preserve">Nghỉ việc </v>
      </c>
      <c r="E111" s="356" t="str">
        <f>INDEX('6. data thông tin nhân sự'!G:G, MATCH('5. Theo dõi mail'!B111, '6. data thông tin nhân sự'!B:B,0))</f>
        <v>Sáng tạo - Creative</v>
      </c>
      <c r="F111" s="356" t="s">
        <v>1181</v>
      </c>
      <c r="G111" s="356" t="s">
        <v>1206</v>
      </c>
      <c r="H111" s="374" t="str">
        <f>INDEX('6. data thông tin nhân sự'!N:N,MATCH('5. Theo dõi mail'!B111, '6. data thông tin nhân sự'!B:B,0))</f>
        <v>01/06/2023</v>
      </c>
      <c r="I111" s="374">
        <f>INDEX('6. data thông tin nhân sự'!Y:Y,MATCH('5. Theo dõi mail'!B111, '6. data thông tin nhân sự'!B:B,0))</f>
        <v>46174</v>
      </c>
      <c r="J111" s="382"/>
      <c r="K111" s="372" t="s">
        <v>1154</v>
      </c>
      <c r="L111" s="379"/>
      <c r="M111" s="412">
        <v>46171</v>
      </c>
      <c r="N111" s="549"/>
      <c r="O111" s="379"/>
      <c r="P111" s="379"/>
      <c r="Q111" s="379"/>
      <c r="R111" s="379"/>
      <c r="S111" s="379"/>
      <c r="T111" s="379"/>
      <c r="U111" s="379"/>
    </row>
    <row r="112" spans="1:40" ht="15" customHeight="1">
      <c r="A112" s="368">
        <v>31</v>
      </c>
      <c r="B112" s="355">
        <v>25009</v>
      </c>
      <c r="C112" s="356" t="str">
        <f>INDEX('6. data thông tin nhân sự'!C:C, MATCH('5. Theo dõi mail'!B112, '6. data thông tin nhân sự'!B:B,0))</f>
        <v>Quách Phương Thảo</v>
      </c>
      <c r="D112" s="356" t="str">
        <f>INDEX('6. data thông tin nhân sự'!D:D, MATCH('5. Theo dõi mail'!B112, '6. data thông tin nhân sự'!B:B,0))</f>
        <v xml:space="preserve">Nghỉ việc </v>
      </c>
      <c r="E112" s="356" t="str">
        <f>INDEX('6. data thông tin nhân sự'!G:G, MATCH('5. Theo dõi mail'!B112, '6. data thông tin nhân sự'!B:B,0))</f>
        <v>Sản xuất Video - Video Prodution</v>
      </c>
      <c r="F112" s="356" t="s">
        <v>1207</v>
      </c>
      <c r="G112" s="356" t="s">
        <v>1208</v>
      </c>
      <c r="H112" s="374" t="str">
        <f>INDEX('6. data thông tin nhân sự'!N:N,MATCH('5. Theo dõi mail'!B112, '6. data thông tin nhân sự'!B:B,0))</f>
        <v>01/04/2025</v>
      </c>
      <c r="I112" s="374">
        <f>INDEX('6. data thông tin nhân sự'!Y:Y,MATCH('5. Theo dõi mail'!B112, '6. data thông tin nhân sự'!B:B,0))</f>
        <v>46184</v>
      </c>
      <c r="J112" s="382"/>
      <c r="K112" s="372" t="s">
        <v>1154</v>
      </c>
      <c r="L112" s="379"/>
      <c r="M112" s="412">
        <v>46173</v>
      </c>
      <c r="N112" s="549"/>
      <c r="O112" s="379"/>
      <c r="P112" s="379"/>
      <c r="Q112" s="379"/>
      <c r="R112" s="379"/>
      <c r="S112" s="379"/>
      <c r="T112" s="379"/>
      <c r="U112" s="379"/>
    </row>
    <row r="113" spans="1:40" ht="15" customHeight="1">
      <c r="A113" s="368">
        <v>32</v>
      </c>
      <c r="B113" s="355">
        <v>26008</v>
      </c>
      <c r="C113" s="356" t="str">
        <f>INDEX('6. data thông tin nhân sự'!C:C, MATCH('5. Theo dõi mail'!B113, '6. data thông tin nhân sự'!B:B,0))</f>
        <v>Nguyễn Quang Thành</v>
      </c>
      <c r="D113" s="356" t="str">
        <f>INDEX('6. data thông tin nhân sự'!D:D, MATCH('5. Theo dõi mail'!B113, '6. data thông tin nhân sự'!B:B,0))</f>
        <v xml:space="preserve">Nghỉ việc </v>
      </c>
      <c r="E113" s="356" t="str">
        <f>INDEX('6. data thông tin nhân sự'!G:G, MATCH('5. Theo dõi mail'!B113, '6. data thông tin nhân sự'!B:B,0))</f>
        <v>Truyền thông - Marketing</v>
      </c>
      <c r="F113" s="356" t="s">
        <v>1201</v>
      </c>
      <c r="G113" s="356" t="s">
        <v>1209</v>
      </c>
      <c r="H113" s="374" t="str">
        <f>INDEX('6. data thông tin nhân sự'!N:N,MATCH('5. Theo dõi mail'!B113, '6. data thông tin nhân sự'!B:B,0))</f>
        <v>25/03/2026</v>
      </c>
      <c r="I113" s="374">
        <f>INDEX('6. data thông tin nhân sự'!Y:Y,MATCH('5. Theo dõi mail'!B113, '6. data thông tin nhân sự'!B:B,0))</f>
        <v>46173</v>
      </c>
      <c r="J113" s="382"/>
      <c r="K113" s="372" t="s">
        <v>1154</v>
      </c>
      <c r="L113" s="379"/>
      <c r="M113" s="412">
        <v>46174</v>
      </c>
      <c r="N113" s="549"/>
      <c r="O113" s="379"/>
      <c r="P113" s="379"/>
      <c r="Q113" s="379"/>
      <c r="R113" s="379"/>
      <c r="S113" s="379"/>
      <c r="T113" s="379"/>
      <c r="U113" s="379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</row>
    <row r="114" spans="1:40" ht="15">
      <c r="A114" s="368">
        <v>33</v>
      </c>
      <c r="B114" s="355">
        <v>25002</v>
      </c>
      <c r="C114" s="356" t="str">
        <f>INDEX('6. data thông tin nhân sự'!C:C, MATCH('5. Theo dõi mail'!B114, '6. data thông tin nhân sự'!B:B,0))</f>
        <v>Phạm Ngọc Anh</v>
      </c>
      <c r="D114" s="356" t="str">
        <f>INDEX('6. data thông tin nhân sự'!D:D, MATCH('5. Theo dõi mail'!B114, '6. data thông tin nhân sự'!B:B,0))</f>
        <v xml:space="preserve">Nghỉ việc </v>
      </c>
      <c r="E114" s="356" t="str">
        <f>INDEX('6. data thông tin nhân sự'!G:G, MATCH('5. Theo dõi mail'!B114, '6. data thông tin nhân sự'!B:B,0))</f>
        <v>Truyền thông - Marketing</v>
      </c>
      <c r="F114" s="356" t="s">
        <v>1210</v>
      </c>
      <c r="G114" s="356" t="s">
        <v>1211</v>
      </c>
      <c r="H114" s="374" t="str">
        <f>INDEX('6. data thông tin nhân sự'!N:N,MATCH('5. Theo dõi mail'!B114, '6. data thông tin nhân sự'!B:B,0))</f>
        <v>18/02/2025</v>
      </c>
      <c r="I114" s="374">
        <f>INDEX('6. data thông tin nhân sự'!Y:Y,MATCH('5. Theo dõi mail'!B114, '6. data thông tin nhân sự'!B:B,0))</f>
        <v>46183</v>
      </c>
      <c r="J114" s="412"/>
      <c r="K114" s="372" t="s">
        <v>1154</v>
      </c>
      <c r="L114" s="356"/>
      <c r="M114" s="378"/>
      <c r="N114" s="549"/>
      <c r="O114" s="356"/>
      <c r="P114" s="356"/>
      <c r="Q114" s="356"/>
      <c r="R114" s="356"/>
      <c r="S114" s="356"/>
      <c r="T114" s="356"/>
      <c r="U114" s="356"/>
    </row>
    <row r="115" spans="1:40" ht="15">
      <c r="A115" s="368">
        <v>34</v>
      </c>
      <c r="B115" s="355">
        <v>26015</v>
      </c>
      <c r="C115" s="356" t="str">
        <f>INDEX('6. data thông tin nhân sự'!C:C, MATCH('5. Theo dõi mail'!B115, '6. data thông tin nhân sự'!B:B,0))</f>
        <v>Nguyễn Diệu Hằng</v>
      </c>
      <c r="D115" s="356" t="str">
        <f>INDEX('6. data thông tin nhân sự'!D:D, MATCH('5. Theo dõi mail'!B115, '6. data thông tin nhân sự'!B:B,0))</f>
        <v xml:space="preserve">Nghỉ việc </v>
      </c>
      <c r="E115" s="356" t="str">
        <f>INDEX('6. data thông tin nhân sự'!G:G, MATCH('5. Theo dõi mail'!B115, '6. data thông tin nhân sự'!B:B,0))</f>
        <v>Hành chính nhân sự - HR &amp; Admin</v>
      </c>
      <c r="F115" s="356" t="s">
        <v>1212</v>
      </c>
      <c r="G115" s="356" t="s">
        <v>1213</v>
      </c>
      <c r="H115" s="374" t="str">
        <f>INDEX('6. data thông tin nhân sự'!N:N,MATCH('5. Theo dõi mail'!B115, '6. data thông tin nhân sự'!B:B,0))</f>
        <v>10/06/2026</v>
      </c>
      <c r="I115" s="374">
        <f>INDEX('6. data thông tin nhân sự'!Y:Y,MATCH('5. Theo dõi mail'!B115, '6. data thông tin nhân sự'!B:B,0))</f>
        <v>46188</v>
      </c>
      <c r="J115" s="382"/>
      <c r="K115" s="372" t="s">
        <v>1154</v>
      </c>
      <c r="L115" s="356"/>
      <c r="M115" s="412">
        <v>46184</v>
      </c>
      <c r="N115" s="549"/>
      <c r="O115" s="356"/>
      <c r="P115" s="356"/>
      <c r="Q115" s="356"/>
      <c r="R115" s="356"/>
      <c r="S115" s="356"/>
      <c r="T115" s="356"/>
      <c r="U115" s="356"/>
    </row>
    <row r="116" spans="1:40" ht="15">
      <c r="A116" s="368">
        <v>35</v>
      </c>
      <c r="B116" s="359">
        <v>25022</v>
      </c>
      <c r="C116" s="356" t="str">
        <f>INDEX('6. data thông tin nhân sự'!C:C, MATCH('5. Theo dõi mail'!B116, '6. data thông tin nhân sự'!B:B,0))</f>
        <v>Nguyễn Hồng Nhung</v>
      </c>
      <c r="D116" s="356" t="str">
        <f>INDEX('6. data thông tin nhân sự'!D:D, MATCH('5. Theo dõi mail'!B116, '6. data thông tin nhân sự'!B:B,0))</f>
        <v xml:space="preserve">Nghỉ việc </v>
      </c>
      <c r="E116" s="356" t="str">
        <f>INDEX('6. data thông tin nhân sự'!G:G, MATCH('5. Theo dõi mail'!B116, '6. data thông tin nhân sự'!B:B,0))</f>
        <v>Tài chính &amp; Kế toán  - Finance &amp; Accounting</v>
      </c>
      <c r="F116" s="356" t="s">
        <v>1214</v>
      </c>
      <c r="G116" s="356" t="s">
        <v>1215</v>
      </c>
      <c r="H116" s="374" t="str">
        <f>INDEX('6. data thông tin nhân sự'!N:N,MATCH('5. Theo dõi mail'!B116, '6. data thông tin nhân sự'!B:B,0))</f>
        <v>01/08/2025</v>
      </c>
      <c r="I116" s="374">
        <f>INDEX('6. data thông tin nhân sự'!Y:Y,MATCH('5. Theo dõi mail'!B116, '6. data thông tin nhân sự'!B:B,0))</f>
        <v>46224</v>
      </c>
      <c r="J116" s="379"/>
      <c r="K116" s="356" t="s">
        <v>1154</v>
      </c>
      <c r="L116" s="356"/>
      <c r="M116" s="378"/>
      <c r="N116" s="549"/>
      <c r="O116" s="356"/>
      <c r="P116" s="356"/>
      <c r="Q116" s="356"/>
      <c r="R116" s="356"/>
      <c r="S116" s="356"/>
      <c r="T116" s="356"/>
      <c r="U116" s="356"/>
    </row>
    <row r="117" spans="1:40" ht="15">
      <c r="A117" s="368">
        <v>36</v>
      </c>
      <c r="B117" s="355">
        <v>26004</v>
      </c>
      <c r="C117" s="356" t="str">
        <f>INDEX('6. data thông tin nhân sự'!C:C, MATCH('5. Theo dõi mail'!B117, '6. data thông tin nhân sự'!B:B,0))</f>
        <v>Nguyễn Mai Hương</v>
      </c>
      <c r="D117" s="356" t="str">
        <f>INDEX('6. data thông tin nhân sự'!D:D, MATCH('5. Theo dõi mail'!B117, '6. data thông tin nhân sự'!B:B,0))</f>
        <v xml:space="preserve">Nghỉ việc </v>
      </c>
      <c r="E117" s="356" t="str">
        <f>INDEX('6. data thông tin nhân sự'!G:G, MATCH('5. Theo dõi mail'!B117, '6. data thông tin nhân sự'!B:B,0))</f>
        <v>Hành chính nhân sự - HR &amp; Admin</v>
      </c>
      <c r="F117" s="356" t="s">
        <v>1178</v>
      </c>
      <c r="G117" s="356" t="s">
        <v>1216</v>
      </c>
      <c r="H117" s="374" t="str">
        <f>INDEX('6. data thông tin nhân sự'!N:N,MATCH('5. Theo dõi mail'!B117, '6. data thông tin nhân sự'!B:B,0))</f>
        <v>05/03/2026</v>
      </c>
      <c r="I117" s="374">
        <f>INDEX('6. data thông tin nhân sự'!Y:Y,MATCH('5. Theo dõi mail'!B117, '6. data thông tin nhân sự'!B:B,0))</f>
        <v>46217</v>
      </c>
      <c r="J117" s="382"/>
      <c r="K117" s="356" t="s">
        <v>1154</v>
      </c>
      <c r="L117" s="356"/>
      <c r="M117" s="412">
        <v>46193</v>
      </c>
      <c r="N117" s="549"/>
      <c r="O117" s="356"/>
      <c r="P117" s="356"/>
      <c r="Q117" s="356"/>
      <c r="R117" s="356"/>
      <c r="S117" s="356"/>
      <c r="T117" s="356"/>
      <c r="U117" s="356"/>
    </row>
    <row r="118" spans="1:40" ht="15">
      <c r="A118" s="368">
        <v>37</v>
      </c>
      <c r="B118" s="355">
        <v>26012</v>
      </c>
      <c r="C118" s="356" t="str">
        <f>INDEX('6. data thông tin nhân sự'!C:C, MATCH('5. Theo dõi mail'!B118, '6. data thông tin nhân sự'!B:B,0))</f>
        <v>Nguyễn Tài Đại</v>
      </c>
      <c r="D118" s="356" t="str">
        <f>INDEX('6. data thông tin nhân sự'!D:D, MATCH('5. Theo dõi mail'!B118, '6. data thông tin nhân sự'!B:B,0))</f>
        <v xml:space="preserve">Nghỉ việc </v>
      </c>
      <c r="E118" s="356" t="str">
        <f>INDEX('6. data thông tin nhân sự'!G:G, MATCH('5. Theo dõi mail'!B118, '6. data thông tin nhân sự'!B:B,0))</f>
        <v>Xưởng - Production</v>
      </c>
      <c r="F118" s="356" t="s">
        <v>1217</v>
      </c>
      <c r="G118" s="356" t="s">
        <v>1218</v>
      </c>
      <c r="H118" s="374" t="str">
        <f>INDEX('6. data thông tin nhân sự'!N:N,MATCH('5. Theo dõi mail'!B118, '6. data thông tin nhân sự'!B:B,0))</f>
        <v>15/04/2026</v>
      </c>
      <c r="I118" s="374">
        <f>INDEX('6. data thông tin nhân sự'!Y:Y,MATCH('5. Theo dõi mail'!B118, '6. data thông tin nhân sự'!B:B,0))</f>
        <v>46235</v>
      </c>
      <c r="J118" s="379"/>
      <c r="K118" s="356" t="s">
        <v>1185</v>
      </c>
      <c r="L118" s="379">
        <v>46217</v>
      </c>
      <c r="M118" s="378"/>
      <c r="N118" s="549"/>
      <c r="O118" s="379"/>
      <c r="P118" s="379"/>
      <c r="Q118" s="379"/>
      <c r="R118" s="379"/>
      <c r="S118" s="379"/>
      <c r="T118" s="379"/>
      <c r="U118" s="379"/>
    </row>
    <row r="119" spans="1:40" ht="14.25" customHeight="1">
      <c r="A119" s="368">
        <v>38</v>
      </c>
      <c r="B119" s="355">
        <v>22003</v>
      </c>
      <c r="C119" s="356" t="str">
        <f>INDEX('6. data thông tin nhân sự'!C:C, MATCH('5. Theo dõi mail'!B119, '6. data thông tin nhân sự'!B:B,0))</f>
        <v>Nguyễn Thành Long</v>
      </c>
      <c r="D119" s="356" t="str">
        <f>INDEX('6. data thông tin nhân sự'!D:D, MATCH('5. Theo dõi mail'!B119, '6. data thông tin nhân sự'!B:B,0))</f>
        <v xml:space="preserve">Nghỉ việc </v>
      </c>
      <c r="E119" s="356" t="str">
        <f>INDEX('6. data thông tin nhân sự'!G:G, MATCH('5. Theo dõi mail'!B119, '6. data thông tin nhân sự'!B:B,0))</f>
        <v>Sản xuất Video - Video Prodution</v>
      </c>
      <c r="F119" s="356" t="str">
        <f>INDEX('6. data thông tin nhân sự'!H:H, MATCH('5. Theo dõi mail'!B119, '6. data thông tin nhân sự'!B:B,0))</f>
        <v>Video Production Manager</v>
      </c>
      <c r="G119" s="356" t="str">
        <f>INDEX('6. data thông tin nhân sự'!L:L, MATCH('5. Theo dõi mail'!B119, '6. data thông tin nhân sự'!B:B,0))</f>
        <v>longnt@newdaymedia.com.vn</v>
      </c>
      <c r="H119" s="374" t="str">
        <f>INDEX('6. data thông tin nhân sự'!N:N, MATCH('5. Theo dõi mail'!B119, '6. data thông tin nhân sự'!B:B,0))</f>
        <v>15/09/2022</v>
      </c>
      <c r="I119" s="374">
        <f>INDEX('6. data thông tin nhân sự'!Y:Y,MATCH('5. Theo dõi mail'!B119, '6. data thông tin nhân sự'!B:B,0))</f>
        <v>46235</v>
      </c>
      <c r="J119" s="379"/>
      <c r="K119" s="356" t="s">
        <v>1185</v>
      </c>
      <c r="L119" s="356"/>
      <c r="M119" s="456"/>
      <c r="N119" s="549"/>
      <c r="O119" s="356"/>
      <c r="P119" s="356"/>
      <c r="Q119" s="356"/>
      <c r="R119" s="356"/>
      <c r="S119" s="356"/>
      <c r="T119" s="356"/>
      <c r="U119" s="356"/>
    </row>
    <row r="120" spans="1:40" ht="15">
      <c r="A120" s="368">
        <v>39</v>
      </c>
      <c r="B120" s="360" t="s">
        <v>1140</v>
      </c>
      <c r="C120" s="361" t="s">
        <v>1219</v>
      </c>
      <c r="D120" s="362"/>
      <c r="E120" s="363" t="s">
        <v>271</v>
      </c>
      <c r="F120" s="363" t="s">
        <v>271</v>
      </c>
      <c r="G120" s="364" t="s">
        <v>1220</v>
      </c>
      <c r="H120" s="374"/>
      <c r="I120" s="374" t="e">
        <f>INDEX('6. data thông tin nhân sự'!Y:Y,MATCH('5. Theo dõi mail'!B120, '6. data thông tin nhân sự'!B:B,0))</f>
        <v>#N/A</v>
      </c>
      <c r="J120" s="409"/>
      <c r="K120" s="356" t="s">
        <v>1185</v>
      </c>
      <c r="L120" s="356"/>
      <c r="M120" s="378"/>
      <c r="N120" s="549"/>
      <c r="O120" s="356"/>
      <c r="P120" s="356"/>
      <c r="Q120" s="356"/>
      <c r="R120" s="356"/>
      <c r="S120" s="356"/>
      <c r="T120" s="356"/>
      <c r="U120" s="356"/>
    </row>
    <row r="121" spans="1:40" ht="15">
      <c r="A121" s="368">
        <v>40</v>
      </c>
      <c r="B121" s="355">
        <v>26016</v>
      </c>
      <c r="C121" s="356" t="str">
        <f>INDEX('6. data thông tin nhân sự'!C:C, MATCH('5. Theo dõi mail'!B121, '6. data thông tin nhân sự'!B:B,0))</f>
        <v>Nguyễn Ngọc Huyền</v>
      </c>
      <c r="D121" s="356" t="str">
        <f>INDEX('6. data thông tin nhân sự'!D:D, MATCH('5. Theo dõi mail'!B121, '6. data thông tin nhân sự'!B:B,0))</f>
        <v xml:space="preserve">Nghỉ việc </v>
      </c>
      <c r="E121" s="356" t="str">
        <f>INDEX('6. data thông tin nhân sự'!G:G, MATCH('5. Theo dõi mail'!B121, '6. data thông tin nhân sự'!B:B,0))</f>
        <v>Hành chính nhân sự - HR &amp; Admin</v>
      </c>
      <c r="F121" s="356" t="str">
        <f>INDEX('6. data thông tin nhân sự'!H:H, MATCH('5. Theo dõi mail'!B121, '6. data thông tin nhân sự'!B:B,0))</f>
        <v>Administrative Receptionist</v>
      </c>
      <c r="G121" s="356" t="str">
        <f>INDEX('6. data thông tin nhân sự'!L:L, MATCH('5. Theo dõi mail'!B121, '6. data thông tin nhân sự'!B:B,0))</f>
        <v>Huyennn@newdaymedia.com.vn</v>
      </c>
      <c r="H121" s="374" t="str">
        <f>INDEX('6. data thông tin nhân sự'!N:N, MATCH('5. Theo dõi mail'!B121, '6. data thông tin nhân sự'!B:B,0))</f>
        <v>15/06/2026</v>
      </c>
      <c r="I121" s="374">
        <f>INDEX('6. data thông tin nhân sự'!Y:Y,MATCH('5. Theo dõi mail'!B121, '6. data thông tin nhân sự'!B:B,0))</f>
        <v>46242</v>
      </c>
      <c r="J121" s="379"/>
      <c r="K121" s="356" t="s">
        <v>1185</v>
      </c>
      <c r="L121" s="356"/>
      <c r="M121" s="456"/>
      <c r="N121" s="549"/>
      <c r="O121" s="356"/>
      <c r="P121" s="356"/>
      <c r="Q121" s="356"/>
      <c r="R121" s="356"/>
      <c r="S121" s="356"/>
      <c r="T121" s="356"/>
      <c r="U121" s="356"/>
    </row>
    <row r="122" spans="1:40" ht="18.75">
      <c r="A122" s="368">
        <v>41</v>
      </c>
      <c r="B122" s="355">
        <v>25025</v>
      </c>
      <c r="C122" s="356" t="str">
        <f>INDEX('6. data thông tin nhân sự'!C:C, MATCH('5. Theo dõi mail'!B122, '6. data thông tin nhân sự'!B:B,0))</f>
        <v>Nguyễn Chí Hiếu</v>
      </c>
      <c r="D122" s="356" t="str">
        <f>INDEX('6. data thông tin nhân sự'!D:D, MATCH('5. Theo dõi mail'!B122, '6. data thông tin nhân sự'!B:B,0))</f>
        <v xml:space="preserve">Nghỉ việc </v>
      </c>
      <c r="E122" s="356" t="str">
        <f>INDEX('6. data thông tin nhân sự'!G:G, MATCH('5. Theo dõi mail'!B122, '6. data thông tin nhân sự'!B:B,0))</f>
        <v>Sáng tạo - Creative</v>
      </c>
      <c r="F122" s="356" t="str">
        <f>INDEX('6. data thông tin nhân sự'!H:H, MATCH('5. Theo dõi mail'!B122, '6. data thông tin nhân sự'!B:B,0))</f>
        <v>Concept Artist</v>
      </c>
      <c r="G122" s="356" t="str">
        <f>INDEX('6. data thông tin nhân sự'!L:L, MATCH('5. Theo dõi mail'!B122, '6. data thông tin nhân sự'!B:B,0))</f>
        <v>Hieunc@newdaymedia.com.vn</v>
      </c>
      <c r="H122" s="374" t="str">
        <f>INDEX('6. data thông tin nhân sự'!N:N, MATCH('5. Theo dõi mail'!B122, '6. data thông tin nhân sự'!B:B,0))</f>
        <v>28/07/2025</v>
      </c>
      <c r="I122" s="374">
        <f>INDEX('6. data thông tin nhân sự'!Y:Y,MATCH('5. Theo dõi mail'!B122, '6. data thông tin nhân sự'!B:B,0))</f>
        <v>46234</v>
      </c>
      <c r="J122" s="379"/>
      <c r="K122" s="356" t="s">
        <v>1185</v>
      </c>
      <c r="L122" s="356"/>
      <c r="M122" s="456"/>
      <c r="N122" s="549"/>
      <c r="O122" s="356"/>
      <c r="P122" s="356"/>
      <c r="Q122" s="356"/>
      <c r="R122" s="356"/>
      <c r="S122" s="356"/>
      <c r="T122" s="356"/>
      <c r="U122" s="356"/>
      <c r="AF122" s="457" t="s">
        <v>1096</v>
      </c>
      <c r="AG122" s="458">
        <f>COUNTIF(V6:V81, "Laptop cá nhân - surface")</f>
        <v>2</v>
      </c>
    </row>
    <row r="123" spans="1:40" ht="14.25" customHeight="1">
      <c r="A123" s="368">
        <v>42</v>
      </c>
      <c r="B123" s="355">
        <v>26017</v>
      </c>
      <c r="C123" s="356" t="str">
        <f>INDEX('6. data thông tin nhân sự'!C:C, MATCH('5. Theo dõi mail'!B123, '6. data thông tin nhân sự'!B:B,0))</f>
        <v>Nguyễn Duy Hưng</v>
      </c>
      <c r="D123" s="356" t="str">
        <f>INDEX('6. data thông tin nhân sự'!D:D, MATCH('5. Theo dõi mail'!B123, '6. data thông tin nhân sự'!B:B,0))</f>
        <v xml:space="preserve">Nghỉ việc </v>
      </c>
      <c r="E123" s="356" t="str">
        <f>INDEX('6. data thông tin nhân sự'!G:G, MATCH('5. Theo dõi mail'!B123, '6. data thông tin nhân sự'!B:B,0))</f>
        <v>Thiết kế - Design</v>
      </c>
      <c r="F123" s="356" t="str">
        <f>INDEX('6. data thông tin nhân sự'!H:H, MATCH('5. Theo dõi mail'!B123, '6. data thông tin nhân sự'!B:B,0))</f>
        <v>3D Graphic Designer</v>
      </c>
      <c r="G123" s="356" t="str">
        <f>INDEX('6. data thông tin nhân sự'!L:L, MATCH('5. Theo dõi mail'!B123, '6. data thông tin nhân sự'!B:B,0))</f>
        <v>Hungnd@newdaymedia.com.vn</v>
      </c>
      <c r="H123" s="374" t="str">
        <f>INDEX('6. data thông tin nhân sự'!N:N, MATCH('5. Theo dõi mail'!B123, '6. data thông tin nhân sự'!B:B,0))</f>
        <v>15/06/2026</v>
      </c>
      <c r="I123" s="374">
        <f>INDEX('6. data thông tin nhân sự'!Y:Y,MATCH('5. Theo dõi mail'!B123, '6. data thông tin nhân sự'!B:B,0))</f>
        <v>46235</v>
      </c>
      <c r="J123" s="379"/>
      <c r="K123" s="356" t="s">
        <v>1185</v>
      </c>
      <c r="L123" s="356"/>
      <c r="M123" s="456"/>
      <c r="N123" s="549"/>
      <c r="O123" s="356"/>
      <c r="P123" s="356"/>
      <c r="Q123" s="356"/>
      <c r="R123" s="356"/>
      <c r="S123" s="356"/>
      <c r="T123" s="356"/>
      <c r="U123" s="356"/>
    </row>
    <row r="124" spans="1:40" ht="15">
      <c r="A124" s="368">
        <v>43</v>
      </c>
      <c r="B124" s="355">
        <v>26022</v>
      </c>
      <c r="C124" s="356" t="str">
        <f>INDEX('6. data thông tin nhân sự'!C:C, MATCH('5. Theo dõi mail'!B124, '6. data thông tin nhân sự'!B:B,0))</f>
        <v>Vũ Ngọc Khanh</v>
      </c>
      <c r="D124" s="356" t="str">
        <f>INDEX('6. data thông tin nhân sự'!D:D, MATCH('5. Theo dõi mail'!B124, '6. data thông tin nhân sự'!B:B,0))</f>
        <v xml:space="preserve">Nghỉ việc </v>
      </c>
      <c r="E124" s="356" t="str">
        <f>INDEX('6. data thông tin nhân sự'!G:G, MATCH('5. Theo dõi mail'!B124, '6. data thông tin nhân sự'!B:B,0))</f>
        <v>Hành chính nhân sự - HR &amp; Admin</v>
      </c>
      <c r="F124" s="356" t="str">
        <f>INDEX('6. data thông tin nhân sự'!H:H, MATCH('5. Theo dõi mail'!B124, '6. data thông tin nhân sự'!B:B,0))</f>
        <v>Administrative Receptionist</v>
      </c>
      <c r="G124" s="356" t="str">
        <f>INDEX('6. data thông tin nhân sự'!L:L, MATCH('5. Theo dõi mail'!B124, '6. data thông tin nhân sự'!B:B,0))</f>
        <v>Khanhvn@newdaymedia.com.vn</v>
      </c>
      <c r="H124" s="374" t="str">
        <f>INDEX('6. data thông tin nhân sự'!N:N, MATCH('5. Theo dõi mail'!B124, '6. data thông tin nhân sự'!B:B,0))</f>
        <v>30/07/2026</v>
      </c>
      <c r="I124" s="374">
        <f>INDEX('6. data thông tin nhân sự'!Y:Y,MATCH('5. Theo dõi mail'!B124, '6. data thông tin nhân sự'!B:B,0))</f>
        <v>46245</v>
      </c>
      <c r="J124" s="379"/>
      <c r="K124" s="356" t="s">
        <v>1185</v>
      </c>
      <c r="L124" s="356"/>
      <c r="M124" s="456"/>
      <c r="N124" s="549"/>
      <c r="O124" s="356"/>
      <c r="P124" s="356"/>
      <c r="Q124" s="356"/>
      <c r="R124" s="356"/>
      <c r="S124" s="356"/>
      <c r="T124" s="356"/>
      <c r="U124" s="356"/>
    </row>
    <row r="125" spans="1:40" ht="18.75">
      <c r="A125" s="368">
        <v>44</v>
      </c>
      <c r="B125" s="355">
        <v>24001</v>
      </c>
      <c r="C125" s="356" t="str">
        <f>INDEX('6. data thông tin nhân sự'!C:C, MATCH('5. Theo dõi mail'!B125, '6. data thông tin nhân sự'!B:B,0))</f>
        <v>Lê Lâm Cường</v>
      </c>
      <c r="D125" s="356" t="str">
        <f>INDEX('6. data thông tin nhân sự'!D:D, MATCH('5. Theo dõi mail'!B125, '6. data thông tin nhân sự'!B:B,0))</f>
        <v xml:space="preserve">Nghỉ việc </v>
      </c>
      <c r="E125" s="356" t="str">
        <f>INDEX('6. data thông tin nhân sự'!G:G, MATCH('5. Theo dõi mail'!B125, '6. data thông tin nhân sự'!B:B,0))</f>
        <v>Sự kiện - Event</v>
      </c>
      <c r="F125" s="356" t="str">
        <f>INDEX('6. data thông tin nhân sự'!H:H, MATCH('5. Theo dõi mail'!B125, '6. data thông tin nhân sự'!B:B,0))</f>
        <v xml:space="preserve">Deputy Event Manager </v>
      </c>
      <c r="G125" s="356" t="str">
        <f>INDEX('6. data thông tin nhân sự'!L:L, MATCH('5. Theo dõi mail'!B125, '6. data thông tin nhân sự'!B:B,0))</f>
        <v>cuongll@newdaymedia.com.vn</v>
      </c>
      <c r="H125" s="374" t="str">
        <f>INDEX('6. data thông tin nhân sự'!N:N, MATCH('5. Theo dõi mail'!B125, '6. data thông tin nhân sự'!B:B,0))</f>
        <v>01/04/2024</v>
      </c>
      <c r="I125" s="374">
        <f>INDEX('6. data thông tin nhân sự'!Y:Y,MATCH('5. Theo dõi mail'!B125, '6. data thông tin nhân sự'!B:B,0))</f>
        <v>46254</v>
      </c>
      <c r="J125" s="379"/>
      <c r="K125" s="356" t="s">
        <v>1185</v>
      </c>
      <c r="L125" s="356"/>
      <c r="M125" s="456"/>
      <c r="N125" s="549"/>
      <c r="O125" s="356"/>
      <c r="P125" s="356"/>
      <c r="Q125" s="356"/>
      <c r="R125" s="356"/>
      <c r="S125" s="356"/>
      <c r="T125" s="356"/>
      <c r="U125" s="356"/>
      <c r="AF125" s="457" t="s">
        <v>1084</v>
      </c>
      <c r="AG125" s="458">
        <f>COUNTIF(W5:W80, "Win bản quyền - Home")</f>
        <v>9</v>
      </c>
    </row>
    <row r="126" spans="1:40" ht="16.5">
      <c r="A126" s="438">
        <f>IF(B126="","",SUBTOTAL(3,$B$6:B126))</f>
        <v>106</v>
      </c>
      <c r="B126" s="355">
        <v>26014</v>
      </c>
      <c r="C126" s="356" t="str">
        <f>INDEX('6. data thông tin nhân sự'!C:C, MATCH('5. Theo dõi mail'!B126, '6. data thông tin nhân sự'!B:B,0))</f>
        <v>Nguyễn Thị Thùy Linh</v>
      </c>
      <c r="D126" s="356" t="str">
        <f>INDEX('6. data thông tin nhân sự'!D:D, MATCH('5. Theo dõi mail'!B126, '6. data thông tin nhân sự'!B:B,0))</f>
        <v xml:space="preserve">Nghỉ việc </v>
      </c>
      <c r="E126" s="356" t="str">
        <f>INDEX('6. data thông tin nhân sự'!G:G, MATCH('5. Theo dõi mail'!B126, '6. data thông tin nhân sự'!B:B,0))</f>
        <v>Sản xuất Video - Video Prodution</v>
      </c>
      <c r="F126" s="356" t="str">
        <f>INDEX('6. data thông tin nhân sự'!H:H, MATCH('5. Theo dõi mail'!B126, '6. data thông tin nhân sự'!B:B,0))</f>
        <v>Script Editor</v>
      </c>
      <c r="G126" s="356" t="str">
        <f>INDEX('6. data thông tin nhân sự'!L:L, MATCH('5. Theo dõi mail'!B126, '6. data thông tin nhân sự'!B:B,0))</f>
        <v>Linhntt@newdaymedia.com.vn</v>
      </c>
      <c r="H126" s="374" t="str">
        <f>INDEX('6. data thông tin nhân sự'!N:N, MATCH('5. Theo dõi mail'!B126, '6. data thông tin nhân sự'!B:B,0))</f>
        <v>10/06/2026</v>
      </c>
      <c r="I126" s="379">
        <v>46244</v>
      </c>
      <c r="J126" s="379"/>
      <c r="K126" s="356" t="s">
        <v>1185</v>
      </c>
      <c r="L126" s="356"/>
      <c r="M126" s="356"/>
      <c r="N126" s="549"/>
      <c r="O126" s="356"/>
      <c r="P126" s="356"/>
      <c r="Q126" s="356"/>
      <c r="R126" s="356"/>
      <c r="S126" s="356"/>
      <c r="T126" s="356"/>
      <c r="U126" s="356"/>
      <c r="V126" s="596" t="s">
        <v>1090</v>
      </c>
      <c r="W126" s="596" t="s">
        <v>1083</v>
      </c>
      <c r="X126" s="356"/>
      <c r="Y126" s="356"/>
      <c r="Z126" s="356"/>
      <c r="AA126" s="356"/>
      <c r="AB126" s="448" t="s">
        <v>1108</v>
      </c>
      <c r="AC126" s="356"/>
      <c r="AD126" s="75"/>
    </row>
    <row r="127" spans="1:40" s="560" customFormat="1" ht="14.25" customHeight="1">
      <c r="A127" s="584"/>
      <c r="B127" s="584"/>
      <c r="H127" s="587"/>
      <c r="I127" s="588"/>
      <c r="J127" s="588"/>
      <c r="N127" s="589"/>
      <c r="V127" s="601"/>
      <c r="W127" s="601"/>
    </row>
  </sheetData>
  <autoFilter ref="K2:K92" xr:uid="{158EFFF5-8859-49BD-B75D-2F5753A90322}"/>
  <mergeCells count="16">
    <mergeCell ref="D1:G1"/>
    <mergeCell ref="AG3:AJ3"/>
    <mergeCell ref="AM3:AN3"/>
    <mergeCell ref="AF3:AF4"/>
    <mergeCell ref="AK3:AK4"/>
    <mergeCell ref="AL3:AL4"/>
    <mergeCell ref="A81:C81"/>
    <mergeCell ref="AO3:AO4"/>
    <mergeCell ref="AP3:AP4"/>
    <mergeCell ref="AI17:AJ17"/>
    <mergeCell ref="AL17:AM17"/>
    <mergeCell ref="AP17:AQ17"/>
    <mergeCell ref="AC14:AC22"/>
    <mergeCell ref="AF17:AG17"/>
    <mergeCell ref="AC58:AC63"/>
    <mergeCell ref="AF50:AG50"/>
  </mergeCells>
  <dataValidations count="3">
    <dataValidation type="list" allowBlank="1" showInputMessage="1" showErrorMessage="1" sqref="D76 D23 D82:D83 D74 D70 D64 D57 D41 D32 D2:D5 D13 D9 D119:D122 D47 D124:D1048576" xr:uid="{2EDA6166-5961-4089-B49D-92C5380BAAD7}">
      <formula1>$A$2:$A$6</formula1>
    </dataValidation>
    <dataValidation type="list" allowBlank="1" showInputMessage="1" showErrorMessage="1" sqref="E76 E23 E81:E83 E74 E70 E64 E57 E41 E32 E2:E5 E13 E9 E119:E122 E47 E124:E1048576" xr:uid="{39756B9A-480B-4D5A-A27C-EE0658F96094}">
      <formula1>$D$2:$D$10</formula1>
    </dataValidation>
    <dataValidation allowBlank="1" showInputMessage="1" showErrorMessage="1" sqref="K1:AM1" xr:uid="{BFC16314-C329-4AEB-BF9D-47C3ED6C27EC}"/>
  </dataValidations>
  <hyperlinks>
    <hyperlink ref="G78" r:id="rId1" xr:uid="{94F970E0-BA33-44AD-BF97-25B7C095319C}"/>
    <hyperlink ref="G105" r:id="rId2" xr:uid="{3D5CF6FF-BDA6-4F28-BBBF-29F090662494}"/>
    <hyperlink ref="G79" r:id="rId3" xr:uid="{ABA855EF-7603-4BD4-904B-3EE718122346}"/>
  </hyperlinks>
  <pageMargins left="0.25" right="0.25" top="0.75" bottom="0.75" header="0.3" footer="0.3"/>
  <pageSetup paperSize="9" fitToHeight="0"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2BAF-31A6-42D1-A3D0-6602A0B6B504}">
  <dimension ref="A1:AC139"/>
  <sheetViews>
    <sheetView tabSelected="1" topLeftCell="A24" workbookViewId="0">
      <selection activeCell="A5" sqref="A5:XFD5"/>
    </sheetView>
  </sheetViews>
  <sheetFormatPr defaultRowHeight="15"/>
  <cols>
    <col min="3" max="3" width="29.7109375" customWidth="1"/>
    <col min="4" max="4" width="13.5703125" customWidth="1"/>
    <col min="5" max="5" width="10.7109375" customWidth="1"/>
    <col min="6" max="6" width="15.28515625" customWidth="1"/>
    <col min="7" max="7" width="28.42578125" customWidth="1"/>
    <col min="8" max="8" width="59.42578125" customWidth="1"/>
    <col min="9" max="9" width="29.85546875" customWidth="1"/>
    <col min="10" max="10" width="26.5703125" customWidth="1"/>
    <col min="11" max="11" width="29" customWidth="1"/>
    <col min="12" max="12" width="27.7109375" customWidth="1"/>
    <col min="13" max="13" width="34" customWidth="1"/>
    <col min="14" max="20" width="21.5703125" customWidth="1"/>
    <col min="21" max="21" width="12.42578125" bestFit="1" customWidth="1"/>
    <col min="25" max="25" width="11.140625" bestFit="1" customWidth="1"/>
  </cols>
  <sheetData>
    <row r="1" spans="1:28" ht="53.25" customHeight="1">
      <c r="A1" s="122"/>
      <c r="B1" s="123"/>
      <c r="C1" s="341"/>
      <c r="D1" s="842" t="s">
        <v>241</v>
      </c>
      <c r="E1" s="843"/>
      <c r="F1" s="843"/>
      <c r="G1" s="84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</row>
    <row r="2" spans="1:28" ht="34.5">
      <c r="A2" s="384" t="s">
        <v>1221</v>
      </c>
      <c r="B2" s="349"/>
      <c r="C2" s="350"/>
      <c r="D2" s="350"/>
      <c r="E2" s="350"/>
      <c r="F2" s="350"/>
      <c r="G2" s="351"/>
      <c r="H2" s="347"/>
      <c r="I2" s="351"/>
      <c r="J2" s="351"/>
      <c r="K2" s="351"/>
      <c r="L2" s="347"/>
      <c r="M2" s="351"/>
      <c r="N2" s="385"/>
      <c r="O2" s="386"/>
      <c r="P2" s="386"/>
      <c r="Q2" s="386"/>
      <c r="R2" s="387"/>
      <c r="S2" s="387"/>
      <c r="T2" s="388"/>
    </row>
    <row r="3" spans="1:28" ht="30">
      <c r="A3" s="348" t="s">
        <v>1222</v>
      </c>
      <c r="B3" s="349"/>
      <c r="C3" s="350"/>
      <c r="D3" s="350"/>
      <c r="E3" s="350"/>
      <c r="F3" s="350"/>
      <c r="G3" s="351"/>
      <c r="H3" s="347"/>
      <c r="I3" s="351"/>
      <c r="J3" s="351"/>
      <c r="K3" s="351"/>
      <c r="L3" s="347"/>
      <c r="M3" s="351"/>
      <c r="N3" s="385"/>
      <c r="O3" s="386"/>
      <c r="P3" s="386"/>
      <c r="Q3" s="386"/>
      <c r="R3" s="388"/>
      <c r="S3" s="388"/>
      <c r="T3" s="388"/>
    </row>
    <row r="4" spans="1:28" ht="30">
      <c r="A4" s="352"/>
      <c r="B4" s="349"/>
      <c r="C4" s="350"/>
      <c r="D4" s="350"/>
      <c r="E4" s="350"/>
      <c r="F4" s="350"/>
      <c r="G4" s="351"/>
      <c r="H4" s="347"/>
      <c r="I4" s="351"/>
      <c r="J4" s="351"/>
      <c r="K4" s="351"/>
      <c r="L4" s="347"/>
      <c r="M4" s="351"/>
      <c r="N4" s="385"/>
      <c r="O4" s="386"/>
      <c r="P4" s="386"/>
      <c r="Q4" s="386"/>
      <c r="R4" s="388"/>
      <c r="S4" s="388"/>
      <c r="T4" s="388"/>
    </row>
    <row r="5" spans="1:28" ht="63.75">
      <c r="A5" s="627" t="s">
        <v>85</v>
      </c>
      <c r="B5" s="627" t="s">
        <v>1052</v>
      </c>
      <c r="C5" s="627" t="s">
        <v>1053</v>
      </c>
      <c r="D5" s="627" t="s">
        <v>1054</v>
      </c>
      <c r="E5" s="627" t="s">
        <v>1223</v>
      </c>
      <c r="F5" s="627" t="s">
        <v>1224</v>
      </c>
      <c r="G5" s="627" t="s">
        <v>1055</v>
      </c>
      <c r="H5" s="627" t="s">
        <v>1056</v>
      </c>
      <c r="I5" s="627" t="s">
        <v>1225</v>
      </c>
      <c r="J5" s="627" t="s">
        <v>1226</v>
      </c>
      <c r="K5" s="627" t="s">
        <v>1227</v>
      </c>
      <c r="L5" s="627" t="s">
        <v>1057</v>
      </c>
      <c r="M5" s="627" t="s">
        <v>1228</v>
      </c>
      <c r="N5" s="628" t="s">
        <v>1229</v>
      </c>
      <c r="O5" s="629" t="s">
        <v>1230</v>
      </c>
      <c r="P5" s="629" t="s">
        <v>1231</v>
      </c>
      <c r="Q5" s="629" t="s">
        <v>1232</v>
      </c>
      <c r="R5" s="629" t="s">
        <v>1233</v>
      </c>
      <c r="S5" s="629" t="s">
        <v>1234</v>
      </c>
      <c r="T5" s="629" t="s">
        <v>1235</v>
      </c>
      <c r="U5" s="629" t="s">
        <v>1236</v>
      </c>
    </row>
    <row r="6" spans="1:28" ht="16.5">
      <c r="A6" s="630" t="s">
        <v>1089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2"/>
      <c r="O6" s="633"/>
      <c r="P6" s="633"/>
      <c r="Q6" s="633"/>
      <c r="R6" s="633"/>
      <c r="S6" s="633"/>
      <c r="T6" s="633"/>
      <c r="U6" s="633"/>
    </row>
    <row r="7" spans="1:28" ht="17.25">
      <c r="A7" s="389">
        <v>1</v>
      </c>
      <c r="B7" s="634">
        <v>10001</v>
      </c>
      <c r="C7" s="635" t="s">
        <v>1013</v>
      </c>
      <c r="D7" s="635" t="s">
        <v>1237</v>
      </c>
      <c r="E7" s="636" t="s">
        <v>1238</v>
      </c>
      <c r="F7" s="636" t="s">
        <v>1239</v>
      </c>
      <c r="G7" s="636" t="s">
        <v>663</v>
      </c>
      <c r="H7" s="636" t="s">
        <v>1240</v>
      </c>
      <c r="I7" s="636" t="s">
        <v>1241</v>
      </c>
      <c r="J7" s="636" t="s">
        <v>1242</v>
      </c>
      <c r="K7" s="636" t="s">
        <v>1243</v>
      </c>
      <c r="L7" s="636" t="s">
        <v>1244</v>
      </c>
      <c r="M7" s="635"/>
      <c r="N7" s="637" t="s">
        <v>1245</v>
      </c>
      <c r="O7" s="638">
        <v>2010</v>
      </c>
      <c r="P7" s="638"/>
      <c r="Q7" s="638"/>
      <c r="R7" s="637" t="s">
        <v>1245</v>
      </c>
      <c r="S7" s="637"/>
      <c r="T7" s="637">
        <v>40198</v>
      </c>
      <c r="U7" s="639"/>
      <c r="V7" t="s">
        <v>1246</v>
      </c>
      <c r="W7">
        <v>40422</v>
      </c>
    </row>
    <row r="8" spans="1:28" ht="17.25">
      <c r="A8" s="389">
        <v>2</v>
      </c>
      <c r="B8" s="640">
        <v>10002</v>
      </c>
      <c r="C8" s="641" t="s">
        <v>1247</v>
      </c>
      <c r="D8" s="641" t="s">
        <v>1237</v>
      </c>
      <c r="E8" s="642" t="s">
        <v>1238</v>
      </c>
      <c r="F8" s="642" t="s">
        <v>1239</v>
      </c>
      <c r="G8" s="642" t="s">
        <v>663</v>
      </c>
      <c r="H8" s="636" t="s">
        <v>1248</v>
      </c>
      <c r="I8" s="636" t="s">
        <v>1249</v>
      </c>
      <c r="J8" s="636" t="s">
        <v>1242</v>
      </c>
      <c r="K8" s="642" t="s">
        <v>1243</v>
      </c>
      <c r="L8" s="643" t="s">
        <v>1250</v>
      </c>
      <c r="M8" s="641" t="s">
        <v>1251</v>
      </c>
      <c r="N8" s="644" t="s">
        <v>1245</v>
      </c>
      <c r="O8" s="645">
        <v>2010</v>
      </c>
      <c r="P8" s="645"/>
      <c r="Q8" s="645"/>
      <c r="R8" s="644" t="s">
        <v>1245</v>
      </c>
      <c r="S8" s="644"/>
      <c r="T8" s="644">
        <v>40198</v>
      </c>
      <c r="U8" s="647"/>
      <c r="V8" t="s">
        <v>1246</v>
      </c>
    </row>
    <row r="9" spans="1:28" ht="17.25">
      <c r="A9" s="389">
        <v>3</v>
      </c>
      <c r="B9" s="640">
        <v>10003</v>
      </c>
      <c r="C9" s="648" t="s">
        <v>1252</v>
      </c>
      <c r="D9" s="648" t="s">
        <v>1237</v>
      </c>
      <c r="E9" s="649" t="s">
        <v>1238</v>
      </c>
      <c r="F9" s="649" t="s">
        <v>1239</v>
      </c>
      <c r="G9" s="649" t="s">
        <v>663</v>
      </c>
      <c r="H9" s="636" t="s">
        <v>1253</v>
      </c>
      <c r="I9" s="636" t="s">
        <v>1254</v>
      </c>
      <c r="J9" s="636" t="s">
        <v>1242</v>
      </c>
      <c r="K9" s="649" t="s">
        <v>1243</v>
      </c>
      <c r="L9" s="643" t="s">
        <v>1255</v>
      </c>
      <c r="M9" s="648" t="s">
        <v>1256</v>
      </c>
      <c r="N9" s="650">
        <v>40198</v>
      </c>
      <c r="O9" s="651">
        <v>2010</v>
      </c>
      <c r="P9" s="651"/>
      <c r="Q9" s="651"/>
      <c r="R9" s="650">
        <v>40198</v>
      </c>
      <c r="S9" s="652" t="s">
        <v>1256</v>
      </c>
      <c r="T9" s="650">
        <v>40198</v>
      </c>
      <c r="U9" s="653" t="s">
        <v>1256</v>
      </c>
      <c r="V9" t="s">
        <v>1246</v>
      </c>
      <c r="W9">
        <v>43466</v>
      </c>
      <c r="X9" t="s">
        <v>1256</v>
      </c>
      <c r="Y9" t="s">
        <v>1256</v>
      </c>
      <c r="Z9" t="s">
        <v>1256</v>
      </c>
      <c r="AA9" t="s">
        <v>1256</v>
      </c>
      <c r="AB9" t="s">
        <v>1256</v>
      </c>
    </row>
    <row r="10" spans="1:28" ht="16.5">
      <c r="A10" s="630" t="s">
        <v>1100</v>
      </c>
      <c r="B10" s="631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2"/>
      <c r="O10" s="633"/>
      <c r="P10" s="633"/>
      <c r="Q10" s="633"/>
      <c r="R10" s="633"/>
      <c r="S10" s="633"/>
      <c r="T10" s="633"/>
      <c r="U10" s="633"/>
    </row>
    <row r="11" spans="1:28" ht="25.5" customHeight="1">
      <c r="A11" s="389">
        <v>4</v>
      </c>
      <c r="B11" s="640">
        <v>16001</v>
      </c>
      <c r="C11" s="641" t="s">
        <v>1257</v>
      </c>
      <c r="D11" s="641" t="s">
        <v>1237</v>
      </c>
      <c r="E11" s="642" t="s">
        <v>1238</v>
      </c>
      <c r="F11" s="642" t="s">
        <v>1239</v>
      </c>
      <c r="G11" s="642" t="s">
        <v>667</v>
      </c>
      <c r="H11" s="654" t="s">
        <v>1258</v>
      </c>
      <c r="I11" s="636" t="s">
        <v>1259</v>
      </c>
      <c r="J11" s="636" t="s">
        <v>1260</v>
      </c>
      <c r="K11" s="642" t="s">
        <v>1242</v>
      </c>
      <c r="L11" s="643" t="s">
        <v>1261</v>
      </c>
      <c r="M11" s="635" t="s">
        <v>1262</v>
      </c>
      <c r="N11" s="644" t="s">
        <v>1263</v>
      </c>
      <c r="O11" s="645">
        <v>2016</v>
      </c>
      <c r="P11" s="645"/>
      <c r="Q11" s="645"/>
      <c r="R11" s="644" t="s">
        <v>1263</v>
      </c>
      <c r="S11" s="644">
        <v>42643</v>
      </c>
      <c r="T11" s="644">
        <v>42644</v>
      </c>
      <c r="U11" s="647"/>
      <c r="V11" t="s">
        <v>1246</v>
      </c>
      <c r="W11">
        <v>42767</v>
      </c>
    </row>
    <row r="12" spans="1:28" ht="17.25">
      <c r="A12" s="389">
        <v>5</v>
      </c>
      <c r="B12" s="640">
        <v>23006</v>
      </c>
      <c r="C12" s="641" t="s">
        <v>1264</v>
      </c>
      <c r="D12" s="641" t="s">
        <v>1237</v>
      </c>
      <c r="E12" s="642" t="s">
        <v>1238</v>
      </c>
      <c r="F12" s="642" t="s">
        <v>1239</v>
      </c>
      <c r="G12" s="642" t="s">
        <v>667</v>
      </c>
      <c r="H12" s="636" t="s">
        <v>1265</v>
      </c>
      <c r="I12" s="636" t="s">
        <v>1266</v>
      </c>
      <c r="J12" s="636" t="s">
        <v>1260</v>
      </c>
      <c r="K12" s="642" t="s">
        <v>1267</v>
      </c>
      <c r="L12" s="390" t="s">
        <v>1268</v>
      </c>
      <c r="M12" s="635" t="s">
        <v>1269</v>
      </c>
      <c r="N12" s="644" t="s">
        <v>1270</v>
      </c>
      <c r="O12" s="645">
        <v>2023</v>
      </c>
      <c r="P12" s="645"/>
      <c r="Q12" s="645"/>
      <c r="R12" s="644" t="s">
        <v>1270</v>
      </c>
      <c r="S12" s="644">
        <v>45169</v>
      </c>
      <c r="T12" s="644">
        <v>45170</v>
      </c>
      <c r="U12" s="647"/>
      <c r="V12" t="s">
        <v>1246</v>
      </c>
      <c r="W12">
        <v>45231</v>
      </c>
    </row>
    <row r="13" spans="1:28" ht="17.25">
      <c r="A13" s="389">
        <v>6</v>
      </c>
      <c r="B13" s="640">
        <v>23007</v>
      </c>
      <c r="C13" s="641" t="s">
        <v>1271</v>
      </c>
      <c r="D13" s="641" t="s">
        <v>1237</v>
      </c>
      <c r="E13" s="642" t="s">
        <v>1238</v>
      </c>
      <c r="F13" s="642" t="s">
        <v>1239</v>
      </c>
      <c r="G13" s="642" t="s">
        <v>667</v>
      </c>
      <c r="H13" s="636" t="s">
        <v>1265</v>
      </c>
      <c r="I13" s="636" t="s">
        <v>1266</v>
      </c>
      <c r="J13" s="636" t="s">
        <v>1260</v>
      </c>
      <c r="K13" s="642" t="s">
        <v>1267</v>
      </c>
      <c r="L13" s="642" t="s">
        <v>1272</v>
      </c>
      <c r="M13" s="635" t="s">
        <v>1273</v>
      </c>
      <c r="N13" s="644" t="s">
        <v>1274</v>
      </c>
      <c r="O13" s="655">
        <v>2023</v>
      </c>
      <c r="P13" s="655"/>
      <c r="Q13" s="655"/>
      <c r="R13" s="656" t="s">
        <v>1274</v>
      </c>
      <c r="S13" s="656">
        <v>45234</v>
      </c>
      <c r="T13" s="656">
        <v>45235</v>
      </c>
      <c r="U13" s="657"/>
      <c r="V13" t="s">
        <v>1246</v>
      </c>
      <c r="W13">
        <v>45444</v>
      </c>
    </row>
    <row r="14" spans="1:28" ht="16.5">
      <c r="A14" s="630" t="s">
        <v>1109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1"/>
      <c r="N14" s="632"/>
      <c r="O14" s="631"/>
      <c r="P14" s="631"/>
      <c r="Q14" s="631"/>
      <c r="R14" s="631"/>
      <c r="S14" s="631"/>
      <c r="T14" s="631"/>
      <c r="U14" s="631"/>
    </row>
    <row r="15" spans="1:28" ht="17.25">
      <c r="A15" s="389">
        <v>7</v>
      </c>
      <c r="B15" s="640">
        <v>20001</v>
      </c>
      <c r="C15" s="641" t="s">
        <v>117</v>
      </c>
      <c r="D15" s="641" t="s">
        <v>1237</v>
      </c>
      <c r="E15" s="642" t="s">
        <v>1238</v>
      </c>
      <c r="F15" s="642" t="s">
        <v>1239</v>
      </c>
      <c r="G15" s="642" t="s">
        <v>118</v>
      </c>
      <c r="H15" s="636" t="s">
        <v>1275</v>
      </c>
      <c r="I15" s="636" t="s">
        <v>1276</v>
      </c>
      <c r="J15" s="636" t="s">
        <v>1277</v>
      </c>
      <c r="K15" s="642" t="s">
        <v>1278</v>
      </c>
      <c r="L15" s="642" t="s">
        <v>1279</v>
      </c>
      <c r="M15" s="635" t="s">
        <v>1280</v>
      </c>
      <c r="N15" s="644" t="s">
        <v>1281</v>
      </c>
      <c r="O15" s="645">
        <v>2020</v>
      </c>
      <c r="P15" s="645"/>
      <c r="Q15" s="645"/>
      <c r="R15" s="644" t="s">
        <v>1281</v>
      </c>
      <c r="S15" s="644">
        <v>44012</v>
      </c>
      <c r="T15" s="644">
        <v>44013</v>
      </c>
      <c r="U15" s="647"/>
      <c r="V15" t="s">
        <v>1246</v>
      </c>
      <c r="W15">
        <v>44256</v>
      </c>
    </row>
    <row r="16" spans="1:28" ht="17.25">
      <c r="A16" s="389">
        <v>8</v>
      </c>
      <c r="B16" s="640">
        <v>21001</v>
      </c>
      <c r="C16" s="641" t="s">
        <v>723</v>
      </c>
      <c r="D16" s="641" t="s">
        <v>1237</v>
      </c>
      <c r="E16" s="642" t="s">
        <v>1238</v>
      </c>
      <c r="F16" s="642" t="s">
        <v>1239</v>
      </c>
      <c r="G16" s="642" t="s">
        <v>118</v>
      </c>
      <c r="H16" s="636" t="s">
        <v>1282</v>
      </c>
      <c r="I16" s="636" t="s">
        <v>1283</v>
      </c>
      <c r="J16" s="636" t="s">
        <v>1284</v>
      </c>
      <c r="K16" s="642" t="s">
        <v>1285</v>
      </c>
      <c r="L16" s="642" t="s">
        <v>1286</v>
      </c>
      <c r="M16" s="635" t="s">
        <v>1287</v>
      </c>
      <c r="N16" s="644" t="s">
        <v>1288</v>
      </c>
      <c r="O16" s="645">
        <v>2021</v>
      </c>
      <c r="P16" s="645"/>
      <c r="Q16" s="645"/>
      <c r="R16" s="644" t="s">
        <v>1288</v>
      </c>
      <c r="S16" s="644">
        <v>44506</v>
      </c>
      <c r="T16" s="644">
        <v>44507</v>
      </c>
      <c r="U16" s="647"/>
      <c r="V16" t="s">
        <v>1246</v>
      </c>
      <c r="W16">
        <v>44743</v>
      </c>
    </row>
    <row r="17" spans="1:23" ht="17.25">
      <c r="A17" s="389">
        <v>9</v>
      </c>
      <c r="B17" s="640">
        <v>21002</v>
      </c>
      <c r="C17" s="641" t="s">
        <v>724</v>
      </c>
      <c r="D17" s="641" t="s">
        <v>1237</v>
      </c>
      <c r="E17" s="642" t="s">
        <v>1238</v>
      </c>
      <c r="F17" s="642" t="s">
        <v>1239</v>
      </c>
      <c r="G17" s="642" t="s">
        <v>118</v>
      </c>
      <c r="H17" s="636" t="s">
        <v>1289</v>
      </c>
      <c r="I17" s="636" t="s">
        <v>1290</v>
      </c>
      <c r="J17" s="636" t="s">
        <v>1291</v>
      </c>
      <c r="K17" s="642" t="s">
        <v>1285</v>
      </c>
      <c r="L17" s="390" t="s">
        <v>1292</v>
      </c>
      <c r="M17" s="635" t="s">
        <v>1293</v>
      </c>
      <c r="N17" s="644" t="s">
        <v>1294</v>
      </c>
      <c r="O17" s="645">
        <v>2021</v>
      </c>
      <c r="P17" s="645"/>
      <c r="Q17" s="645"/>
      <c r="R17" s="644" t="s">
        <v>1294</v>
      </c>
      <c r="S17" s="644">
        <v>44512</v>
      </c>
      <c r="T17" s="644">
        <v>44513</v>
      </c>
      <c r="U17" s="647"/>
      <c r="V17" t="s">
        <v>1246</v>
      </c>
      <c r="W17">
        <v>44743</v>
      </c>
    </row>
    <row r="18" spans="1:23" ht="17.25">
      <c r="A18" s="389">
        <v>10</v>
      </c>
      <c r="B18" s="640">
        <v>23001</v>
      </c>
      <c r="C18" s="641" t="s">
        <v>234</v>
      </c>
      <c r="D18" s="641" t="s">
        <v>1237</v>
      </c>
      <c r="E18" s="642" t="s">
        <v>1238</v>
      </c>
      <c r="F18" s="642" t="s">
        <v>1239</v>
      </c>
      <c r="G18" s="642" t="s">
        <v>118</v>
      </c>
      <c r="H18" s="636" t="s">
        <v>1295</v>
      </c>
      <c r="I18" s="636" t="s">
        <v>1296</v>
      </c>
      <c r="J18" s="636" t="s">
        <v>1297</v>
      </c>
      <c r="K18" s="642" t="s">
        <v>1298</v>
      </c>
      <c r="L18" s="642" t="s">
        <v>1299</v>
      </c>
      <c r="M18" s="635" t="s">
        <v>1300</v>
      </c>
      <c r="N18" s="644" t="s">
        <v>1301</v>
      </c>
      <c r="O18" s="645">
        <v>2023</v>
      </c>
      <c r="P18" s="645"/>
      <c r="Q18" s="645"/>
      <c r="R18" s="644" t="s">
        <v>1301</v>
      </c>
      <c r="S18" s="644">
        <v>45046</v>
      </c>
      <c r="T18" s="644">
        <v>45047</v>
      </c>
      <c r="U18" s="647"/>
      <c r="V18" t="s">
        <v>1246</v>
      </c>
      <c r="W18">
        <v>45323</v>
      </c>
    </row>
    <row r="19" spans="1:23" ht="17.25">
      <c r="A19" s="389">
        <v>11</v>
      </c>
      <c r="B19" s="640">
        <v>23002</v>
      </c>
      <c r="C19" s="641" t="s">
        <v>726</v>
      </c>
      <c r="D19" s="641" t="s">
        <v>1237</v>
      </c>
      <c r="E19" s="642" t="s">
        <v>1238</v>
      </c>
      <c r="F19" s="642" t="s">
        <v>1239</v>
      </c>
      <c r="G19" s="642" t="s">
        <v>118</v>
      </c>
      <c r="H19" s="636" t="s">
        <v>1302</v>
      </c>
      <c r="I19" s="636" t="s">
        <v>1303</v>
      </c>
      <c r="J19" s="636" t="s">
        <v>1284</v>
      </c>
      <c r="K19" s="642" t="s">
        <v>1298</v>
      </c>
      <c r="L19" s="642" t="s">
        <v>1304</v>
      </c>
      <c r="M19" s="635" t="s">
        <v>1305</v>
      </c>
      <c r="N19" s="644" t="s">
        <v>1306</v>
      </c>
      <c r="O19" s="645">
        <v>2023</v>
      </c>
      <c r="P19" s="645"/>
      <c r="Q19" s="645"/>
      <c r="R19" s="644" t="s">
        <v>1306</v>
      </c>
      <c r="S19" s="644">
        <v>45077</v>
      </c>
      <c r="T19" s="644">
        <v>45078</v>
      </c>
      <c r="U19" s="647"/>
      <c r="V19" t="s">
        <v>1246</v>
      </c>
      <c r="W19">
        <v>45383</v>
      </c>
    </row>
    <row r="20" spans="1:23" ht="17.25">
      <c r="A20" s="389">
        <v>12</v>
      </c>
      <c r="B20" s="640">
        <v>24006</v>
      </c>
      <c r="C20" s="641" t="s">
        <v>727</v>
      </c>
      <c r="D20" s="641" t="s">
        <v>1237</v>
      </c>
      <c r="E20" s="642" t="s">
        <v>1238</v>
      </c>
      <c r="F20" s="642" t="s">
        <v>1239</v>
      </c>
      <c r="G20" s="642" t="s">
        <v>118</v>
      </c>
      <c r="H20" s="636" t="s">
        <v>1307</v>
      </c>
      <c r="I20" s="636" t="s">
        <v>1308</v>
      </c>
      <c r="J20" s="636" t="s">
        <v>1291</v>
      </c>
      <c r="K20" s="642" t="s">
        <v>1298</v>
      </c>
      <c r="L20" s="642" t="s">
        <v>1309</v>
      </c>
      <c r="M20" s="635" t="s">
        <v>1310</v>
      </c>
      <c r="N20" s="644" t="s">
        <v>1311</v>
      </c>
      <c r="O20" s="645">
        <v>2024</v>
      </c>
      <c r="P20" s="645"/>
      <c r="Q20" s="645"/>
      <c r="R20" s="644" t="s">
        <v>1311</v>
      </c>
      <c r="S20" s="644">
        <v>45596</v>
      </c>
      <c r="T20" s="644">
        <v>45597</v>
      </c>
      <c r="U20" s="647"/>
      <c r="V20" t="s">
        <v>1246</v>
      </c>
      <c r="W20">
        <v>45383</v>
      </c>
    </row>
    <row r="21" spans="1:23" ht="17.25">
      <c r="A21" s="389">
        <v>13</v>
      </c>
      <c r="B21" s="640">
        <v>24009</v>
      </c>
      <c r="C21" s="641" t="s">
        <v>231</v>
      </c>
      <c r="D21" s="641" t="s">
        <v>1237</v>
      </c>
      <c r="E21" s="641" t="s">
        <v>1238</v>
      </c>
      <c r="F21" s="641" t="s">
        <v>1239</v>
      </c>
      <c r="G21" s="641" t="s">
        <v>118</v>
      </c>
      <c r="H21" s="636" t="s">
        <v>1307</v>
      </c>
      <c r="I21" s="636" t="s">
        <v>1308</v>
      </c>
      <c r="J21" s="636" t="s">
        <v>1291</v>
      </c>
      <c r="K21" s="642" t="s">
        <v>1298</v>
      </c>
      <c r="L21" s="642" t="s">
        <v>1312</v>
      </c>
      <c r="M21" s="635" t="s">
        <v>1313</v>
      </c>
      <c r="N21" s="644" t="s">
        <v>848</v>
      </c>
      <c r="O21" s="645">
        <v>2024</v>
      </c>
      <c r="P21" s="645"/>
      <c r="Q21" s="645"/>
      <c r="R21" s="644" t="s">
        <v>848</v>
      </c>
      <c r="S21" s="644">
        <v>45716</v>
      </c>
      <c r="T21" s="644">
        <v>45717</v>
      </c>
      <c r="U21" s="647"/>
      <c r="V21" t="s">
        <v>1246</v>
      </c>
      <c r="W21">
        <v>45839</v>
      </c>
    </row>
    <row r="22" spans="1:23" ht="17.25">
      <c r="A22" s="389">
        <v>14</v>
      </c>
      <c r="B22" s="640">
        <v>26003</v>
      </c>
      <c r="C22" s="641" t="s">
        <v>240</v>
      </c>
      <c r="D22" s="641" t="s">
        <v>1237</v>
      </c>
      <c r="E22" s="641" t="s">
        <v>1238</v>
      </c>
      <c r="F22" s="641" t="s">
        <v>1239</v>
      </c>
      <c r="G22" s="641" t="s">
        <v>118</v>
      </c>
      <c r="H22" s="636" t="s">
        <v>1295</v>
      </c>
      <c r="I22" s="636" t="s">
        <v>1314</v>
      </c>
      <c r="J22" s="636" t="s">
        <v>1297</v>
      </c>
      <c r="K22" s="642" t="s">
        <v>1298</v>
      </c>
      <c r="L22" s="391" t="s">
        <v>1315</v>
      </c>
      <c r="M22" s="392" t="s">
        <v>1316</v>
      </c>
      <c r="N22" s="658" t="s">
        <v>1317</v>
      </c>
      <c r="O22" s="645">
        <v>2026</v>
      </c>
      <c r="P22" s="645"/>
      <c r="Q22" s="645"/>
      <c r="R22" s="644" t="s">
        <v>1317</v>
      </c>
      <c r="S22" s="644">
        <v>46143</v>
      </c>
      <c r="T22" s="644">
        <v>46175</v>
      </c>
      <c r="U22" s="659"/>
      <c r="V22" t="s">
        <v>1246</v>
      </c>
      <c r="W22">
        <v>46174</v>
      </c>
    </row>
    <row r="23" spans="1:23" ht="17.25">
      <c r="A23" s="389">
        <v>15</v>
      </c>
      <c r="B23" s="640">
        <v>26027</v>
      </c>
      <c r="C23" s="641" t="s">
        <v>487</v>
      </c>
      <c r="D23" s="660" t="s">
        <v>1318</v>
      </c>
      <c r="E23" s="641" t="s">
        <v>1238</v>
      </c>
      <c r="F23" s="641" t="s">
        <v>1239</v>
      </c>
      <c r="G23" s="641" t="s">
        <v>118</v>
      </c>
      <c r="H23" s="636" t="s">
        <v>1302</v>
      </c>
      <c r="I23" s="636" t="s">
        <v>1303</v>
      </c>
      <c r="J23" s="636" t="s">
        <v>1284</v>
      </c>
      <c r="K23" s="642" t="s">
        <v>1298</v>
      </c>
      <c r="L23" s="391" t="s">
        <v>1319</v>
      </c>
      <c r="M23" s="392"/>
      <c r="N23" s="658" t="s">
        <v>1320</v>
      </c>
      <c r="O23" s="645">
        <v>2026</v>
      </c>
      <c r="P23" s="645"/>
      <c r="Q23" s="645"/>
      <c r="R23" s="644" t="s">
        <v>1320</v>
      </c>
      <c r="S23" s="644">
        <v>46304</v>
      </c>
      <c r="T23" s="644"/>
      <c r="U23" s="659">
        <v>46304</v>
      </c>
      <c r="V23" t="s">
        <v>1318</v>
      </c>
    </row>
    <row r="24" spans="1:23" ht="16.5">
      <c r="A24" s="630" t="s">
        <v>405</v>
      </c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2"/>
      <c r="O24" s="633"/>
      <c r="P24" s="633"/>
      <c r="Q24" s="633"/>
      <c r="R24" s="633"/>
      <c r="S24" s="633"/>
      <c r="T24" s="633"/>
      <c r="U24" s="633"/>
    </row>
    <row r="25" spans="1:23" ht="17.25">
      <c r="A25" s="389">
        <v>16</v>
      </c>
      <c r="B25" s="661">
        <v>22001</v>
      </c>
      <c r="C25" s="662" t="s">
        <v>135</v>
      </c>
      <c r="D25" s="641" t="s">
        <v>1237</v>
      </c>
      <c r="E25" s="642" t="s">
        <v>1238</v>
      </c>
      <c r="F25" s="642" t="s">
        <v>1239</v>
      </c>
      <c r="G25" s="642" t="s">
        <v>136</v>
      </c>
      <c r="H25" s="636" t="s">
        <v>1321</v>
      </c>
      <c r="I25" s="636" t="s">
        <v>1322</v>
      </c>
      <c r="J25" s="636" t="s">
        <v>1323</v>
      </c>
      <c r="K25" s="642" t="s">
        <v>1285</v>
      </c>
      <c r="L25" s="642" t="s">
        <v>1324</v>
      </c>
      <c r="M25" s="635" t="s">
        <v>1325</v>
      </c>
      <c r="N25" s="644" t="s">
        <v>1326</v>
      </c>
      <c r="O25" s="645">
        <v>2022</v>
      </c>
      <c r="P25" s="645"/>
      <c r="Q25" s="645"/>
      <c r="R25" s="644" t="s">
        <v>1326</v>
      </c>
      <c r="S25" s="644">
        <v>44758</v>
      </c>
      <c r="T25" s="644">
        <v>44759</v>
      </c>
      <c r="U25" s="647"/>
      <c r="V25" t="s">
        <v>1318</v>
      </c>
    </row>
    <row r="26" spans="1:23" ht="17.25">
      <c r="A26" s="389">
        <v>17</v>
      </c>
      <c r="B26" s="661">
        <v>23008</v>
      </c>
      <c r="C26" s="662" t="s">
        <v>718</v>
      </c>
      <c r="D26" s="641" t="s">
        <v>1237</v>
      </c>
      <c r="E26" s="642" t="s">
        <v>1238</v>
      </c>
      <c r="F26" s="642" t="s">
        <v>1239</v>
      </c>
      <c r="G26" s="642" t="s">
        <v>136</v>
      </c>
      <c r="H26" s="636" t="s">
        <v>1327</v>
      </c>
      <c r="I26" s="636" t="s">
        <v>1328</v>
      </c>
      <c r="J26" s="636" t="s">
        <v>1323</v>
      </c>
      <c r="K26" s="641" t="s">
        <v>1298</v>
      </c>
      <c r="L26" s="642" t="s">
        <v>1329</v>
      </c>
      <c r="M26" s="635" t="s">
        <v>1330</v>
      </c>
      <c r="N26" s="644" t="s">
        <v>1331</v>
      </c>
      <c r="O26" s="645">
        <v>2023</v>
      </c>
      <c r="P26" s="645"/>
      <c r="Q26" s="645"/>
      <c r="R26" s="644" t="s">
        <v>1331</v>
      </c>
      <c r="S26" s="644">
        <v>45322</v>
      </c>
      <c r="T26" s="644">
        <v>45323</v>
      </c>
      <c r="U26" s="647"/>
      <c r="V26" t="s">
        <v>1246</v>
      </c>
      <c r="W26">
        <v>45017</v>
      </c>
    </row>
    <row r="27" spans="1:23" ht="17.25">
      <c r="A27" s="389">
        <v>18</v>
      </c>
      <c r="B27" s="661">
        <v>25012</v>
      </c>
      <c r="C27" s="662" t="s">
        <v>1332</v>
      </c>
      <c r="D27" s="641" t="s">
        <v>1237</v>
      </c>
      <c r="E27" s="642" t="s">
        <v>1238</v>
      </c>
      <c r="F27" s="642" t="s">
        <v>1239</v>
      </c>
      <c r="G27" s="642" t="s">
        <v>136</v>
      </c>
      <c r="H27" s="636" t="s">
        <v>1164</v>
      </c>
      <c r="I27" s="636" t="s">
        <v>1333</v>
      </c>
      <c r="J27" s="636" t="s">
        <v>1334</v>
      </c>
      <c r="K27" s="642" t="s">
        <v>1298</v>
      </c>
      <c r="L27" s="642" t="s">
        <v>1335</v>
      </c>
      <c r="M27" s="635" t="s">
        <v>1336</v>
      </c>
      <c r="N27" s="644" t="s">
        <v>1337</v>
      </c>
      <c r="O27" s="645">
        <v>2025</v>
      </c>
      <c r="P27" s="645"/>
      <c r="Q27" s="645"/>
      <c r="R27" s="644" t="s">
        <v>1337</v>
      </c>
      <c r="S27" s="644">
        <v>45869</v>
      </c>
      <c r="T27" s="644">
        <v>45870</v>
      </c>
      <c r="U27" s="663"/>
      <c r="V27" t="s">
        <v>1246</v>
      </c>
      <c r="W27">
        <v>45689</v>
      </c>
    </row>
    <row r="28" spans="1:23" ht="17.25">
      <c r="A28" s="389">
        <v>19</v>
      </c>
      <c r="B28" s="661">
        <v>25028</v>
      </c>
      <c r="C28" s="662" t="s">
        <v>709</v>
      </c>
      <c r="D28" s="641" t="s">
        <v>1237</v>
      </c>
      <c r="E28" s="642" t="s">
        <v>1238</v>
      </c>
      <c r="F28" s="664" t="s">
        <v>1239</v>
      </c>
      <c r="G28" s="665" t="s">
        <v>136</v>
      </c>
      <c r="H28" s="636" t="s">
        <v>1327</v>
      </c>
      <c r="I28" s="636" t="s">
        <v>1328</v>
      </c>
      <c r="J28" s="636" t="s">
        <v>1323</v>
      </c>
      <c r="K28" s="642" t="s">
        <v>1298</v>
      </c>
      <c r="L28" s="666" t="s">
        <v>1338</v>
      </c>
      <c r="M28" s="635" t="s">
        <v>1339</v>
      </c>
      <c r="N28" s="658" t="s">
        <v>1340</v>
      </c>
      <c r="O28" s="667">
        <v>2025</v>
      </c>
      <c r="P28" s="644"/>
      <c r="Q28" s="644"/>
      <c r="R28" s="644">
        <v>45873</v>
      </c>
      <c r="S28" s="644">
        <v>45933</v>
      </c>
      <c r="T28" s="644">
        <v>45934</v>
      </c>
      <c r="U28" s="663"/>
      <c r="V28" t="s">
        <v>1246</v>
      </c>
      <c r="W28">
        <v>45870</v>
      </c>
    </row>
    <row r="29" spans="1:23" ht="17.25">
      <c r="A29" s="389">
        <v>20</v>
      </c>
      <c r="B29" s="661">
        <v>25030</v>
      </c>
      <c r="C29" s="662" t="s">
        <v>1341</v>
      </c>
      <c r="D29" s="641" t="s">
        <v>1237</v>
      </c>
      <c r="E29" s="642" t="s">
        <v>1238</v>
      </c>
      <c r="F29" s="642" t="s">
        <v>1239</v>
      </c>
      <c r="G29" s="636" t="s">
        <v>136</v>
      </c>
      <c r="H29" s="636" t="s">
        <v>1164</v>
      </c>
      <c r="I29" s="636" t="s">
        <v>1333</v>
      </c>
      <c r="J29" s="636" t="s">
        <v>1334</v>
      </c>
      <c r="K29" s="642" t="s">
        <v>1298</v>
      </c>
      <c r="L29" s="393" t="s">
        <v>1342</v>
      </c>
      <c r="M29" s="635" t="s">
        <v>1343</v>
      </c>
      <c r="N29" s="668" t="s">
        <v>1344</v>
      </c>
      <c r="O29" s="667">
        <v>2025</v>
      </c>
      <c r="P29" s="644"/>
      <c r="Q29" s="644"/>
      <c r="R29" s="644">
        <v>45903</v>
      </c>
      <c r="S29" s="644">
        <v>45963</v>
      </c>
      <c r="T29" s="644">
        <v>45964</v>
      </c>
      <c r="U29" s="663"/>
      <c r="V29" t="s">
        <v>1246</v>
      </c>
      <c r="W29">
        <v>45931</v>
      </c>
    </row>
    <row r="30" spans="1:23" ht="17.25">
      <c r="A30" s="389">
        <v>21</v>
      </c>
      <c r="B30" s="661">
        <v>26006</v>
      </c>
      <c r="C30" s="662" t="s">
        <v>1345</v>
      </c>
      <c r="D30" s="669" t="s">
        <v>1346</v>
      </c>
      <c r="E30" s="642" t="s">
        <v>1238</v>
      </c>
      <c r="F30" s="642" t="s">
        <v>1239</v>
      </c>
      <c r="G30" s="636" t="s">
        <v>136</v>
      </c>
      <c r="H30" s="636" t="s">
        <v>1189</v>
      </c>
      <c r="I30" s="636" t="s">
        <v>1347</v>
      </c>
      <c r="J30" s="636" t="s">
        <v>1323</v>
      </c>
      <c r="K30" s="642" t="s">
        <v>1348</v>
      </c>
      <c r="L30" s="393" t="s">
        <v>1349</v>
      </c>
      <c r="M30" s="392" t="s">
        <v>1350</v>
      </c>
      <c r="N30" s="668" t="s">
        <v>1351</v>
      </c>
      <c r="O30" s="667">
        <v>2026</v>
      </c>
      <c r="P30" s="644">
        <v>46098</v>
      </c>
      <c r="Q30" s="644">
        <v>46281</v>
      </c>
      <c r="R30" s="644"/>
      <c r="S30" s="644"/>
      <c r="T30" s="644"/>
      <c r="U30" s="663">
        <v>46281</v>
      </c>
      <c r="V30" t="s">
        <v>1246</v>
      </c>
      <c r="W30">
        <v>45962</v>
      </c>
    </row>
    <row r="31" spans="1:23" ht="17.25">
      <c r="A31" s="389">
        <v>22</v>
      </c>
      <c r="B31" s="661">
        <v>26013</v>
      </c>
      <c r="C31" s="662" t="s">
        <v>1352</v>
      </c>
      <c r="D31" s="669" t="s">
        <v>1346</v>
      </c>
      <c r="E31" s="642" t="s">
        <v>1238</v>
      </c>
      <c r="F31" s="642" t="s">
        <v>1239</v>
      </c>
      <c r="G31" s="636" t="s">
        <v>136</v>
      </c>
      <c r="H31" s="636" t="s">
        <v>1353</v>
      </c>
      <c r="I31" s="636" t="s">
        <v>1347</v>
      </c>
      <c r="J31" s="636" t="s">
        <v>1323</v>
      </c>
      <c r="K31" s="642" t="s">
        <v>1348</v>
      </c>
      <c r="L31" s="393"/>
      <c r="M31" s="392"/>
      <c r="N31" s="668" t="s">
        <v>1354</v>
      </c>
      <c r="O31" s="667">
        <v>2026</v>
      </c>
      <c r="P31" s="644">
        <v>46177</v>
      </c>
      <c r="Q31" s="644">
        <v>46359</v>
      </c>
      <c r="R31" s="644"/>
      <c r="S31" s="644"/>
      <c r="T31" s="644"/>
      <c r="U31" s="663">
        <v>46359</v>
      </c>
      <c r="V31" t="s">
        <v>1346</v>
      </c>
    </row>
    <row r="32" spans="1:23" ht="16.5">
      <c r="A32" s="630" t="s">
        <v>1121</v>
      </c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2"/>
      <c r="O32" s="633"/>
      <c r="P32" s="633"/>
      <c r="Q32" s="633"/>
      <c r="R32" s="633"/>
      <c r="S32" s="633"/>
      <c r="T32" s="633"/>
      <c r="U32" s="633"/>
      <c r="V32" t="s">
        <v>1346</v>
      </c>
    </row>
    <row r="33" spans="1:23" ht="17.25">
      <c r="A33" s="389">
        <v>23</v>
      </c>
      <c r="B33" s="640">
        <v>20003</v>
      </c>
      <c r="C33" s="641" t="s">
        <v>632</v>
      </c>
      <c r="D33" s="641" t="s">
        <v>1237</v>
      </c>
      <c r="E33" s="642" t="s">
        <v>1238</v>
      </c>
      <c r="F33" s="642" t="s">
        <v>1239</v>
      </c>
      <c r="G33" s="642" t="s">
        <v>673</v>
      </c>
      <c r="H33" s="636" t="s">
        <v>1355</v>
      </c>
      <c r="I33" s="636" t="s">
        <v>1356</v>
      </c>
      <c r="J33" s="636" t="s">
        <v>1277</v>
      </c>
      <c r="K33" s="642" t="s">
        <v>1278</v>
      </c>
      <c r="L33" s="642" t="s">
        <v>1357</v>
      </c>
      <c r="M33" s="635"/>
      <c r="N33" s="637" t="s">
        <v>1358</v>
      </c>
      <c r="O33" s="645">
        <v>2020</v>
      </c>
      <c r="P33" s="645"/>
      <c r="Q33" s="645"/>
      <c r="R33" s="644" t="s">
        <v>1358</v>
      </c>
      <c r="S33" s="644">
        <v>44165</v>
      </c>
      <c r="T33" s="644">
        <v>44166</v>
      </c>
      <c r="U33" s="647"/>
    </row>
    <row r="34" spans="1:23" ht="17.25">
      <c r="A34" s="389">
        <v>24</v>
      </c>
      <c r="B34" s="640">
        <v>21003</v>
      </c>
      <c r="C34" s="641" t="s">
        <v>161</v>
      </c>
      <c r="D34" s="641" t="s">
        <v>1237</v>
      </c>
      <c r="E34" s="642" t="s">
        <v>1238</v>
      </c>
      <c r="F34" s="642" t="s">
        <v>1239</v>
      </c>
      <c r="G34" s="642" t="s">
        <v>673</v>
      </c>
      <c r="H34" s="636" t="s">
        <v>1359</v>
      </c>
      <c r="I34" s="636" t="s">
        <v>1360</v>
      </c>
      <c r="J34" s="636" t="s">
        <v>1361</v>
      </c>
      <c r="K34" s="642" t="s">
        <v>1285</v>
      </c>
      <c r="L34" s="642" t="s">
        <v>1362</v>
      </c>
      <c r="M34" s="635" t="s">
        <v>1363</v>
      </c>
      <c r="N34" s="644" t="s">
        <v>1364</v>
      </c>
      <c r="O34" s="645">
        <v>2021</v>
      </c>
      <c r="P34" s="645"/>
      <c r="Q34" s="645"/>
      <c r="R34" s="644" t="s">
        <v>1364</v>
      </c>
      <c r="S34" s="644">
        <v>44396</v>
      </c>
      <c r="T34" s="644">
        <v>44397</v>
      </c>
      <c r="U34" s="647"/>
      <c r="V34" t="s">
        <v>1246</v>
      </c>
      <c r="W34">
        <v>44593</v>
      </c>
    </row>
    <row r="35" spans="1:23" ht="17.25">
      <c r="A35" s="389">
        <v>25</v>
      </c>
      <c r="B35" s="640">
        <v>24003</v>
      </c>
      <c r="C35" s="641" t="s">
        <v>1365</v>
      </c>
      <c r="D35" s="641" t="s">
        <v>1237</v>
      </c>
      <c r="E35" s="642" t="s">
        <v>1238</v>
      </c>
      <c r="F35" s="642" t="s">
        <v>1239</v>
      </c>
      <c r="G35" s="642" t="s">
        <v>673</v>
      </c>
      <c r="H35" s="636" t="s">
        <v>1181</v>
      </c>
      <c r="I35" s="636" t="s">
        <v>1366</v>
      </c>
      <c r="J35" s="636" t="s">
        <v>1361</v>
      </c>
      <c r="K35" s="664" t="s">
        <v>1298</v>
      </c>
      <c r="L35" s="394" t="s">
        <v>1367</v>
      </c>
      <c r="M35" s="635" t="s">
        <v>1368</v>
      </c>
      <c r="N35" s="644" t="s">
        <v>1369</v>
      </c>
      <c r="O35" s="645">
        <v>2024</v>
      </c>
      <c r="P35" s="645"/>
      <c r="Q35" s="645"/>
      <c r="R35" s="644" t="s">
        <v>1369</v>
      </c>
      <c r="S35" s="644">
        <v>45454</v>
      </c>
      <c r="T35" s="644">
        <v>45455</v>
      </c>
      <c r="U35" s="647"/>
      <c r="V35" t="s">
        <v>1246</v>
      </c>
      <c r="W35">
        <v>44743</v>
      </c>
    </row>
    <row r="36" spans="1:23" ht="17.25">
      <c r="A36" s="389">
        <v>26</v>
      </c>
      <c r="B36" s="640">
        <v>24005</v>
      </c>
      <c r="C36" s="641" t="s">
        <v>1370</v>
      </c>
      <c r="D36" s="641" t="s">
        <v>1237</v>
      </c>
      <c r="E36" s="642" t="s">
        <v>1238</v>
      </c>
      <c r="F36" s="642" t="s">
        <v>1239</v>
      </c>
      <c r="G36" s="642" t="s">
        <v>673</v>
      </c>
      <c r="H36" s="636" t="s">
        <v>1181</v>
      </c>
      <c r="I36" s="636" t="s">
        <v>1366</v>
      </c>
      <c r="J36" s="636" t="s">
        <v>1361</v>
      </c>
      <c r="K36" s="642" t="s">
        <v>1298</v>
      </c>
      <c r="L36" s="636" t="s">
        <v>1371</v>
      </c>
      <c r="M36" s="635" t="s">
        <v>1372</v>
      </c>
      <c r="N36" s="644" t="s">
        <v>1373</v>
      </c>
      <c r="O36" s="645">
        <v>2024</v>
      </c>
      <c r="P36" s="645"/>
      <c r="Q36" s="645"/>
      <c r="R36" s="644" t="s">
        <v>1373</v>
      </c>
      <c r="S36" s="644">
        <v>45565</v>
      </c>
      <c r="T36" s="644">
        <v>45566</v>
      </c>
      <c r="U36" s="647"/>
      <c r="V36" t="s">
        <v>1246</v>
      </c>
      <c r="W36">
        <v>45778</v>
      </c>
    </row>
    <row r="37" spans="1:23" ht="17.25">
      <c r="A37" s="389">
        <v>27</v>
      </c>
      <c r="B37" s="640">
        <v>25042</v>
      </c>
      <c r="C37" s="662" t="s">
        <v>657</v>
      </c>
      <c r="D37" s="641" t="s">
        <v>1237</v>
      </c>
      <c r="E37" s="642" t="s">
        <v>1238</v>
      </c>
      <c r="F37" s="642" t="s">
        <v>1239</v>
      </c>
      <c r="G37" s="642" t="s">
        <v>673</v>
      </c>
      <c r="H37" s="636" t="s">
        <v>1181</v>
      </c>
      <c r="I37" s="636" t="s">
        <v>1366</v>
      </c>
      <c r="J37" s="636" t="s">
        <v>1361</v>
      </c>
      <c r="K37" s="642" t="s">
        <v>1298</v>
      </c>
      <c r="L37" s="396" t="s">
        <v>1374</v>
      </c>
      <c r="M37" s="392" t="s">
        <v>1375</v>
      </c>
      <c r="N37" s="670" t="s">
        <v>1376</v>
      </c>
      <c r="O37" s="645">
        <v>2025</v>
      </c>
      <c r="P37" s="645"/>
      <c r="Q37" s="645"/>
      <c r="R37" s="644">
        <v>45992</v>
      </c>
      <c r="S37" s="644">
        <v>46053</v>
      </c>
      <c r="T37" s="644">
        <v>46054</v>
      </c>
      <c r="U37" s="663"/>
      <c r="V37" t="s">
        <v>1246</v>
      </c>
      <c r="W37">
        <v>45778</v>
      </c>
    </row>
    <row r="38" spans="1:23" ht="17.25">
      <c r="A38" s="389">
        <v>28</v>
      </c>
      <c r="B38" s="640">
        <v>26001</v>
      </c>
      <c r="C38" s="662" t="s">
        <v>1377</v>
      </c>
      <c r="D38" s="641" t="s">
        <v>1237</v>
      </c>
      <c r="E38" s="642" t="s">
        <v>1238</v>
      </c>
      <c r="F38" s="642" t="s">
        <v>1239</v>
      </c>
      <c r="G38" s="642" t="s">
        <v>673</v>
      </c>
      <c r="H38" s="636" t="s">
        <v>1160</v>
      </c>
      <c r="I38" s="636" t="s">
        <v>1378</v>
      </c>
      <c r="J38" s="636" t="s">
        <v>1379</v>
      </c>
      <c r="K38" s="642" t="s">
        <v>1298</v>
      </c>
      <c r="L38" s="396" t="s">
        <v>1380</v>
      </c>
      <c r="M38" s="392" t="s">
        <v>1381</v>
      </c>
      <c r="N38" s="670" t="s">
        <v>1382</v>
      </c>
      <c r="O38" s="645">
        <v>2026</v>
      </c>
      <c r="P38" s="645"/>
      <c r="Q38" s="645"/>
      <c r="R38" s="644">
        <v>46027</v>
      </c>
      <c r="S38" s="644">
        <v>46085</v>
      </c>
      <c r="T38" s="644">
        <v>46086</v>
      </c>
      <c r="U38" s="663"/>
      <c r="V38" t="s">
        <v>1246</v>
      </c>
      <c r="W38">
        <v>46054</v>
      </c>
    </row>
    <row r="39" spans="1:23" ht="17.25">
      <c r="A39" s="389">
        <v>29</v>
      </c>
      <c r="B39" s="661">
        <v>26005</v>
      </c>
      <c r="C39" s="662" t="s">
        <v>1383</v>
      </c>
      <c r="D39" s="641" t="s">
        <v>1237</v>
      </c>
      <c r="E39" s="642" t="s">
        <v>1238</v>
      </c>
      <c r="F39" s="642" t="s">
        <v>1239</v>
      </c>
      <c r="G39" s="642" t="s">
        <v>673</v>
      </c>
      <c r="H39" s="636" t="s">
        <v>1384</v>
      </c>
      <c r="I39" s="636" t="s">
        <v>1328</v>
      </c>
      <c r="J39" s="636" t="s">
        <v>1323</v>
      </c>
      <c r="K39" s="642" t="s">
        <v>1298</v>
      </c>
      <c r="L39" s="393" t="s">
        <v>1385</v>
      </c>
      <c r="M39" s="392" t="s">
        <v>1386</v>
      </c>
      <c r="N39" s="668" t="s">
        <v>1351</v>
      </c>
      <c r="O39" s="667">
        <v>2026</v>
      </c>
      <c r="P39" s="644"/>
      <c r="Q39" s="644"/>
      <c r="R39" s="644">
        <v>46098</v>
      </c>
      <c r="S39" s="644">
        <v>46158</v>
      </c>
      <c r="T39" s="644">
        <v>46191</v>
      </c>
      <c r="U39" s="663"/>
      <c r="V39" t="s">
        <v>1246</v>
      </c>
      <c r="W39">
        <v>46082</v>
      </c>
    </row>
    <row r="40" spans="1:23" ht="17.25">
      <c r="A40" s="389">
        <v>30</v>
      </c>
      <c r="B40" s="661">
        <v>26023</v>
      </c>
      <c r="C40" s="662" t="s">
        <v>1387</v>
      </c>
      <c r="D40" s="660" t="s">
        <v>1318</v>
      </c>
      <c r="E40" s="642" t="s">
        <v>1238</v>
      </c>
      <c r="F40" s="642" t="s">
        <v>1239</v>
      </c>
      <c r="G40" s="642" t="s">
        <v>673</v>
      </c>
      <c r="H40" s="636" t="s">
        <v>1160</v>
      </c>
      <c r="I40" s="636" t="s">
        <v>1378</v>
      </c>
      <c r="J40" s="636" t="s">
        <v>1379</v>
      </c>
      <c r="K40" s="642" t="s">
        <v>1298</v>
      </c>
      <c r="L40" s="393" t="s">
        <v>1388</v>
      </c>
      <c r="M40" s="392"/>
      <c r="N40" s="668" t="s">
        <v>1389</v>
      </c>
      <c r="O40" s="667">
        <v>2026</v>
      </c>
      <c r="P40" s="644"/>
      <c r="Q40" s="644"/>
      <c r="R40" s="644" t="s">
        <v>1389</v>
      </c>
      <c r="S40" s="644">
        <v>46297</v>
      </c>
      <c r="T40" s="644"/>
      <c r="U40" s="663">
        <v>46297</v>
      </c>
      <c r="V40" t="s">
        <v>1246</v>
      </c>
      <c r="W40">
        <v>46204</v>
      </c>
    </row>
    <row r="41" spans="1:23" ht="16.5">
      <c r="A41" s="630" t="s">
        <v>1126</v>
      </c>
      <c r="B41" s="631"/>
      <c r="C41" s="631"/>
      <c r="D41" s="631"/>
      <c r="E41" s="631"/>
      <c r="F41" s="631"/>
      <c r="G41" s="631"/>
      <c r="H41" s="631"/>
      <c r="I41" s="631"/>
      <c r="J41" s="631"/>
      <c r="K41" s="631"/>
      <c r="L41" s="631"/>
      <c r="M41" s="631"/>
      <c r="N41" s="632"/>
      <c r="O41" s="633"/>
      <c r="P41" s="633"/>
      <c r="Q41" s="633"/>
      <c r="R41" s="633"/>
      <c r="S41" s="633"/>
      <c r="T41" s="633"/>
      <c r="U41" s="633"/>
      <c r="V41" t="s">
        <v>1318</v>
      </c>
    </row>
    <row r="42" spans="1:23" ht="17.25">
      <c r="A42" s="389">
        <v>31</v>
      </c>
      <c r="B42" s="661">
        <v>20002</v>
      </c>
      <c r="C42" s="662" t="s">
        <v>195</v>
      </c>
      <c r="D42" s="641" t="s">
        <v>1237</v>
      </c>
      <c r="E42" s="642" t="s">
        <v>1238</v>
      </c>
      <c r="F42" s="642" t="s">
        <v>1239</v>
      </c>
      <c r="G42" s="642" t="s">
        <v>675</v>
      </c>
      <c r="H42" s="636" t="s">
        <v>1390</v>
      </c>
      <c r="I42" s="636" t="s">
        <v>1391</v>
      </c>
      <c r="J42" s="636" t="s">
        <v>1277</v>
      </c>
      <c r="K42" s="642" t="s">
        <v>1392</v>
      </c>
      <c r="L42" s="642" t="s">
        <v>1393</v>
      </c>
      <c r="M42" s="635" t="s">
        <v>1394</v>
      </c>
      <c r="N42" s="644" t="s">
        <v>1281</v>
      </c>
      <c r="O42" s="645">
        <v>2020</v>
      </c>
      <c r="P42" s="645"/>
      <c r="Q42" s="645"/>
      <c r="R42" s="644" t="s">
        <v>1281</v>
      </c>
      <c r="S42" s="644">
        <v>44074</v>
      </c>
      <c r="T42" s="644">
        <v>44075</v>
      </c>
      <c r="U42" s="647"/>
    </row>
    <row r="43" spans="1:23" ht="17.25">
      <c r="A43" s="389">
        <v>32</v>
      </c>
      <c r="B43" s="661">
        <v>22002</v>
      </c>
      <c r="C43" s="662" t="s">
        <v>201</v>
      </c>
      <c r="D43" s="641" t="s">
        <v>1237</v>
      </c>
      <c r="E43" s="642" t="s">
        <v>1238</v>
      </c>
      <c r="F43" s="642" t="s">
        <v>1239</v>
      </c>
      <c r="G43" s="642" t="s">
        <v>675</v>
      </c>
      <c r="H43" s="636" t="s">
        <v>1395</v>
      </c>
      <c r="I43" s="636" t="s">
        <v>1396</v>
      </c>
      <c r="J43" s="636" t="s">
        <v>1397</v>
      </c>
      <c r="K43" s="642" t="s">
        <v>1285</v>
      </c>
      <c r="L43" s="643" t="s">
        <v>1398</v>
      </c>
      <c r="M43" s="635" t="s">
        <v>1399</v>
      </c>
      <c r="N43" s="644" t="s">
        <v>1400</v>
      </c>
      <c r="O43" s="645">
        <v>2022</v>
      </c>
      <c r="P43" s="645"/>
      <c r="Q43" s="645"/>
      <c r="R43" s="644" t="s">
        <v>1400</v>
      </c>
      <c r="S43" s="644">
        <v>44751</v>
      </c>
      <c r="T43" s="644">
        <v>44752</v>
      </c>
      <c r="U43" s="647"/>
      <c r="V43" t="s">
        <v>1246</v>
      </c>
      <c r="W43">
        <v>44256</v>
      </c>
    </row>
    <row r="44" spans="1:23" ht="17.25">
      <c r="A44" s="389">
        <v>33</v>
      </c>
      <c r="B44" s="661">
        <v>25003</v>
      </c>
      <c r="C44" s="662" t="s">
        <v>1401</v>
      </c>
      <c r="D44" s="641" t="s">
        <v>1237</v>
      </c>
      <c r="E44" s="641" t="s">
        <v>1238</v>
      </c>
      <c r="F44" s="641" t="s">
        <v>1239</v>
      </c>
      <c r="G44" s="641" t="s">
        <v>675</v>
      </c>
      <c r="H44" s="636" t="s">
        <v>1402</v>
      </c>
      <c r="I44" s="636" t="s">
        <v>1403</v>
      </c>
      <c r="J44" s="636" t="s">
        <v>1404</v>
      </c>
      <c r="K44" s="641" t="s">
        <v>1298</v>
      </c>
      <c r="L44" s="643" t="s">
        <v>1405</v>
      </c>
      <c r="M44" s="635" t="s">
        <v>1406</v>
      </c>
      <c r="N44" s="644" t="s">
        <v>1407</v>
      </c>
      <c r="O44" s="645">
        <v>2025</v>
      </c>
      <c r="P44" s="645"/>
      <c r="Q44" s="645"/>
      <c r="R44" s="644" t="s">
        <v>1407</v>
      </c>
      <c r="S44" s="644">
        <v>45712</v>
      </c>
      <c r="T44" s="644">
        <v>45772</v>
      </c>
      <c r="U44" s="647"/>
      <c r="V44" t="s">
        <v>1246</v>
      </c>
      <c r="W44">
        <v>45017</v>
      </c>
    </row>
    <row r="45" spans="1:23" ht="17.25">
      <c r="A45" s="389">
        <v>34</v>
      </c>
      <c r="B45" s="661">
        <v>26019</v>
      </c>
      <c r="C45" s="662" t="s">
        <v>1408</v>
      </c>
      <c r="D45" s="641" t="s">
        <v>1237</v>
      </c>
      <c r="E45" s="641" t="s">
        <v>1238</v>
      </c>
      <c r="F45" s="641" t="s">
        <v>1239</v>
      </c>
      <c r="G45" s="641" t="s">
        <v>675</v>
      </c>
      <c r="H45" s="636" t="s">
        <v>1402</v>
      </c>
      <c r="I45" s="636" t="s">
        <v>1403</v>
      </c>
      <c r="J45" s="636" t="s">
        <v>1404</v>
      </c>
      <c r="K45" s="641" t="s">
        <v>1298</v>
      </c>
      <c r="L45" s="391" t="s">
        <v>1409</v>
      </c>
      <c r="M45" s="392" t="s">
        <v>1410</v>
      </c>
      <c r="N45" s="644" t="s">
        <v>1411</v>
      </c>
      <c r="O45" s="645">
        <v>2026</v>
      </c>
      <c r="P45" s="645"/>
      <c r="Q45" s="645"/>
      <c r="R45" s="644" t="s">
        <v>1411</v>
      </c>
      <c r="S45" s="644">
        <v>46251</v>
      </c>
      <c r="T45" s="644">
        <v>46253</v>
      </c>
      <c r="U45" s="659"/>
      <c r="V45" t="s">
        <v>1246</v>
      </c>
      <c r="W45">
        <v>45778</v>
      </c>
    </row>
    <row r="46" spans="1:23" ht="17.25">
      <c r="A46" s="389">
        <v>35</v>
      </c>
      <c r="B46" s="661">
        <v>26021</v>
      </c>
      <c r="C46" s="662" t="s">
        <v>1412</v>
      </c>
      <c r="D46" s="660" t="s">
        <v>1346</v>
      </c>
      <c r="E46" s="641" t="s">
        <v>1238</v>
      </c>
      <c r="F46" s="641" t="s">
        <v>1239</v>
      </c>
      <c r="G46" s="641" t="s">
        <v>675</v>
      </c>
      <c r="H46" s="636" t="s">
        <v>1413</v>
      </c>
      <c r="I46" s="636" t="s">
        <v>1414</v>
      </c>
      <c r="J46" s="636" t="s">
        <v>1404</v>
      </c>
      <c r="K46" s="642" t="s">
        <v>1348</v>
      </c>
      <c r="L46" s="391" t="s">
        <v>1415</v>
      </c>
      <c r="M46" s="392" t="s">
        <v>1416</v>
      </c>
      <c r="N46" s="644" t="s">
        <v>1417</v>
      </c>
      <c r="O46" s="645">
        <v>2026</v>
      </c>
      <c r="P46" s="644" t="s">
        <v>1417</v>
      </c>
      <c r="Q46" s="644">
        <v>46293</v>
      </c>
      <c r="R46" s="644"/>
      <c r="S46" s="644"/>
      <c r="T46" s="644"/>
      <c r="U46" s="659">
        <v>46293</v>
      </c>
      <c r="V46" t="s">
        <v>1246</v>
      </c>
    </row>
    <row r="47" spans="1:23" ht="16.5">
      <c r="A47" s="630" t="s">
        <v>1127</v>
      </c>
      <c r="B47" s="631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2"/>
      <c r="O47" s="633"/>
      <c r="P47" s="633"/>
      <c r="Q47" s="633"/>
      <c r="R47" s="633"/>
      <c r="S47" s="633"/>
      <c r="T47" s="633"/>
      <c r="U47" s="633"/>
      <c r="V47" t="s">
        <v>1346</v>
      </c>
    </row>
    <row r="48" spans="1:23" ht="17.25">
      <c r="A48" s="389">
        <v>36</v>
      </c>
      <c r="B48" s="661">
        <v>26026</v>
      </c>
      <c r="C48" s="662" t="s">
        <v>1418</v>
      </c>
      <c r="D48" s="671" t="s">
        <v>1318</v>
      </c>
      <c r="E48" s="642" t="s">
        <v>1238</v>
      </c>
      <c r="F48" s="642" t="s">
        <v>1239</v>
      </c>
      <c r="G48" s="642" t="s">
        <v>126</v>
      </c>
      <c r="H48" s="636" t="s">
        <v>1419</v>
      </c>
      <c r="I48" s="636" t="s">
        <v>1420</v>
      </c>
      <c r="J48" s="636" t="s">
        <v>1277</v>
      </c>
      <c r="K48" s="642" t="s">
        <v>1278</v>
      </c>
      <c r="L48" s="391" t="s">
        <v>1421</v>
      </c>
      <c r="M48" s="635"/>
      <c r="N48" s="644" t="s">
        <v>1320</v>
      </c>
      <c r="O48" s="645">
        <v>2026</v>
      </c>
      <c r="P48" s="645"/>
      <c r="Q48" s="645"/>
      <c r="R48" s="644" t="s">
        <v>1320</v>
      </c>
      <c r="S48" s="644">
        <v>46304</v>
      </c>
      <c r="T48" s="672"/>
      <c r="U48" s="659">
        <v>46304</v>
      </c>
    </row>
    <row r="49" spans="1:23" ht="17.25">
      <c r="A49" s="389">
        <v>37</v>
      </c>
      <c r="B49" s="661">
        <v>22004</v>
      </c>
      <c r="C49" s="662" t="s">
        <v>753</v>
      </c>
      <c r="D49" s="641" t="s">
        <v>1237</v>
      </c>
      <c r="E49" s="642" t="s">
        <v>1238</v>
      </c>
      <c r="F49" s="642" t="s">
        <v>1239</v>
      </c>
      <c r="G49" s="642" t="s">
        <v>126</v>
      </c>
      <c r="H49" s="636" t="s">
        <v>1422</v>
      </c>
      <c r="I49" s="636" t="s">
        <v>1423</v>
      </c>
      <c r="J49" s="636" t="s">
        <v>1424</v>
      </c>
      <c r="K49" s="642" t="s">
        <v>1285</v>
      </c>
      <c r="L49" s="390" t="s">
        <v>1425</v>
      </c>
      <c r="M49" s="635" t="s">
        <v>1426</v>
      </c>
      <c r="N49" s="644" t="s">
        <v>1427</v>
      </c>
      <c r="O49" s="645">
        <v>2022</v>
      </c>
      <c r="P49" s="645"/>
      <c r="Q49" s="645"/>
      <c r="R49" s="644" t="s">
        <v>1427</v>
      </c>
      <c r="S49" s="644">
        <v>44941</v>
      </c>
      <c r="T49" s="672">
        <v>44942</v>
      </c>
      <c r="U49" s="647"/>
      <c r="V49" t="s">
        <v>1318</v>
      </c>
    </row>
    <row r="50" spans="1:23" ht="17.25">
      <c r="A50" s="389">
        <v>38</v>
      </c>
      <c r="B50" s="661">
        <v>24004</v>
      </c>
      <c r="C50" s="662" t="s">
        <v>712</v>
      </c>
      <c r="D50" s="641" t="s">
        <v>1237</v>
      </c>
      <c r="E50" s="642" t="s">
        <v>1238</v>
      </c>
      <c r="F50" s="642" t="s">
        <v>1239</v>
      </c>
      <c r="G50" s="642" t="s">
        <v>126</v>
      </c>
      <c r="H50" s="636" t="s">
        <v>1428</v>
      </c>
      <c r="I50" s="636" t="s">
        <v>1423</v>
      </c>
      <c r="J50" s="636" t="s">
        <v>1429</v>
      </c>
      <c r="K50" s="642" t="s">
        <v>1285</v>
      </c>
      <c r="L50" s="642" t="s">
        <v>1430</v>
      </c>
      <c r="M50" s="635" t="s">
        <v>1431</v>
      </c>
      <c r="N50" s="644" t="s">
        <v>1432</v>
      </c>
      <c r="O50" s="645">
        <v>2024</v>
      </c>
      <c r="P50" s="645"/>
      <c r="Q50" s="645"/>
      <c r="R50" s="644" t="s">
        <v>1432</v>
      </c>
      <c r="S50" s="644">
        <v>45456</v>
      </c>
      <c r="T50" s="644">
        <v>45457</v>
      </c>
      <c r="U50" s="647"/>
      <c r="V50" t="s">
        <v>1246</v>
      </c>
      <c r="W50">
        <v>45078</v>
      </c>
    </row>
    <row r="51" spans="1:23" ht="17.25">
      <c r="A51" s="389">
        <v>39</v>
      </c>
      <c r="B51" s="661">
        <v>25011</v>
      </c>
      <c r="C51" s="662" t="s">
        <v>127</v>
      </c>
      <c r="D51" s="641" t="s">
        <v>1237</v>
      </c>
      <c r="E51" s="642" t="s">
        <v>1238</v>
      </c>
      <c r="F51" s="642" t="s">
        <v>1239</v>
      </c>
      <c r="G51" s="642" t="s">
        <v>126</v>
      </c>
      <c r="H51" s="636" t="s">
        <v>1433</v>
      </c>
      <c r="I51" s="636" t="s">
        <v>1434</v>
      </c>
      <c r="J51" s="636" t="s">
        <v>1429</v>
      </c>
      <c r="K51" s="642" t="s">
        <v>1298</v>
      </c>
      <c r="L51" s="642" t="s">
        <v>1435</v>
      </c>
      <c r="M51" s="635" t="s">
        <v>1436</v>
      </c>
      <c r="N51" s="644" t="s">
        <v>1437</v>
      </c>
      <c r="O51" s="645">
        <v>2025</v>
      </c>
      <c r="P51" s="645"/>
      <c r="Q51" s="645"/>
      <c r="R51" s="644" t="s">
        <v>1437</v>
      </c>
      <c r="S51" s="644">
        <v>45849</v>
      </c>
      <c r="T51" s="645" t="s">
        <v>1438</v>
      </c>
      <c r="U51" s="663"/>
      <c r="V51" t="s">
        <v>1246</v>
      </c>
      <c r="W51">
        <v>45689</v>
      </c>
    </row>
    <row r="52" spans="1:23" ht="17.25">
      <c r="A52" s="389">
        <v>40</v>
      </c>
      <c r="B52" s="661">
        <v>25026</v>
      </c>
      <c r="C52" s="662" t="s">
        <v>713</v>
      </c>
      <c r="D52" s="641" t="s">
        <v>1237</v>
      </c>
      <c r="E52" s="642" t="s">
        <v>1238</v>
      </c>
      <c r="F52" s="642" t="s">
        <v>1239</v>
      </c>
      <c r="G52" s="642" t="s">
        <v>126</v>
      </c>
      <c r="H52" s="636" t="s">
        <v>1439</v>
      </c>
      <c r="I52" s="636" t="s">
        <v>1440</v>
      </c>
      <c r="J52" s="636" t="s">
        <v>1441</v>
      </c>
      <c r="K52" s="642" t="s">
        <v>1298</v>
      </c>
      <c r="L52" s="642" t="s">
        <v>1442</v>
      </c>
      <c r="M52" s="635" t="s">
        <v>1443</v>
      </c>
      <c r="N52" s="670" t="s">
        <v>1444</v>
      </c>
      <c r="O52" s="645">
        <v>2025</v>
      </c>
      <c r="P52" s="645"/>
      <c r="Q52" s="645"/>
      <c r="R52" s="644" t="s">
        <v>1444</v>
      </c>
      <c r="S52" s="644">
        <v>45930</v>
      </c>
      <c r="T52" s="644">
        <v>45931</v>
      </c>
      <c r="U52" s="663"/>
      <c r="V52" t="s">
        <v>1246</v>
      </c>
      <c r="W52">
        <v>45870</v>
      </c>
    </row>
    <row r="53" spans="1:23" ht="17.25">
      <c r="A53" s="389">
        <v>41</v>
      </c>
      <c r="B53" s="661">
        <v>25032</v>
      </c>
      <c r="C53" s="662" t="s">
        <v>133</v>
      </c>
      <c r="D53" s="641" t="s">
        <v>1237</v>
      </c>
      <c r="E53" s="642" t="s">
        <v>1238</v>
      </c>
      <c r="F53" s="642" t="s">
        <v>1239</v>
      </c>
      <c r="G53" s="642" t="s">
        <v>126</v>
      </c>
      <c r="H53" s="636" t="s">
        <v>1158</v>
      </c>
      <c r="I53" s="636" t="s">
        <v>1445</v>
      </c>
      <c r="J53" s="636" t="s">
        <v>1446</v>
      </c>
      <c r="K53" s="642" t="s">
        <v>1298</v>
      </c>
      <c r="L53" s="673" t="s">
        <v>1447</v>
      </c>
      <c r="M53" s="635" t="s">
        <v>1448</v>
      </c>
      <c r="N53" s="670" t="s">
        <v>1449</v>
      </c>
      <c r="O53" s="645">
        <v>2025</v>
      </c>
      <c r="P53" s="645"/>
      <c r="Q53" s="645"/>
      <c r="R53" s="644" t="s">
        <v>1449</v>
      </c>
      <c r="S53" s="644">
        <v>45985</v>
      </c>
      <c r="T53" s="644">
        <v>45986</v>
      </c>
      <c r="U53" s="663"/>
      <c r="V53" t="s">
        <v>1246</v>
      </c>
      <c r="W53">
        <v>45931</v>
      </c>
    </row>
    <row r="54" spans="1:23" ht="17.25">
      <c r="A54" s="389">
        <v>42</v>
      </c>
      <c r="B54" s="661">
        <v>25045</v>
      </c>
      <c r="C54" s="662" t="s">
        <v>145</v>
      </c>
      <c r="D54" s="641" t="s">
        <v>1237</v>
      </c>
      <c r="E54" s="642" t="s">
        <v>1238</v>
      </c>
      <c r="F54" s="642" t="s">
        <v>1239</v>
      </c>
      <c r="G54" s="642" t="s">
        <v>126</v>
      </c>
      <c r="H54" s="636" t="s">
        <v>1433</v>
      </c>
      <c r="I54" s="636" t="s">
        <v>1434</v>
      </c>
      <c r="J54" s="636" t="s">
        <v>1429</v>
      </c>
      <c r="K54" s="642" t="s">
        <v>1298</v>
      </c>
      <c r="L54" s="397" t="s">
        <v>1450</v>
      </c>
      <c r="M54" s="392" t="s">
        <v>1451</v>
      </c>
      <c r="N54" s="670" t="s">
        <v>1452</v>
      </c>
      <c r="O54" s="645">
        <v>2025</v>
      </c>
      <c r="P54" s="644"/>
      <c r="Q54" s="645"/>
      <c r="R54" s="644">
        <v>46007</v>
      </c>
      <c r="S54" s="644">
        <v>46068</v>
      </c>
      <c r="T54" s="644">
        <v>46069</v>
      </c>
      <c r="U54" s="663"/>
      <c r="V54" t="s">
        <v>1246</v>
      </c>
      <c r="W54">
        <v>45992</v>
      </c>
    </row>
    <row r="55" spans="1:23" ht="17.25">
      <c r="A55" s="389">
        <v>43</v>
      </c>
      <c r="B55" s="661">
        <v>25046</v>
      </c>
      <c r="C55" s="662" t="s">
        <v>151</v>
      </c>
      <c r="D55" s="641" t="s">
        <v>1237</v>
      </c>
      <c r="E55" s="642" t="s">
        <v>1238</v>
      </c>
      <c r="F55" s="642" t="s">
        <v>1239</v>
      </c>
      <c r="G55" s="642" t="s">
        <v>126</v>
      </c>
      <c r="H55" s="636" t="s">
        <v>1453</v>
      </c>
      <c r="I55" s="636" t="s">
        <v>1454</v>
      </c>
      <c r="J55" s="636" t="s">
        <v>1455</v>
      </c>
      <c r="K55" s="642" t="s">
        <v>1298</v>
      </c>
      <c r="L55" s="397" t="s">
        <v>1456</v>
      </c>
      <c r="M55" s="392" t="s">
        <v>1457</v>
      </c>
      <c r="N55" s="670" t="s">
        <v>1452</v>
      </c>
      <c r="O55" s="645">
        <v>2025</v>
      </c>
      <c r="P55" s="644"/>
      <c r="Q55" s="645"/>
      <c r="R55" s="644">
        <v>46007</v>
      </c>
      <c r="S55" s="644">
        <v>46068</v>
      </c>
      <c r="T55" s="644">
        <v>46069</v>
      </c>
      <c r="U55" s="663"/>
      <c r="V55" t="s">
        <v>1246</v>
      </c>
      <c r="W55">
        <v>46082</v>
      </c>
    </row>
    <row r="56" spans="1:23" ht="16.5">
      <c r="A56" s="630" t="s">
        <v>1130</v>
      </c>
      <c r="B56" s="631"/>
      <c r="C56" s="674"/>
      <c r="D56" s="675"/>
      <c r="E56" s="675"/>
      <c r="F56" s="675"/>
      <c r="G56" s="675"/>
      <c r="H56" s="631"/>
      <c r="I56" s="631"/>
      <c r="J56" s="631"/>
      <c r="K56" s="631"/>
      <c r="L56" s="631"/>
      <c r="M56" s="631"/>
      <c r="N56" s="632"/>
      <c r="O56" s="633"/>
      <c r="P56" s="633"/>
      <c r="Q56" s="633"/>
      <c r="R56" s="633"/>
      <c r="S56" s="633"/>
      <c r="T56" s="633"/>
      <c r="U56" s="633"/>
      <c r="V56" t="s">
        <v>1246</v>
      </c>
      <c r="W56">
        <v>46082</v>
      </c>
    </row>
    <row r="57" spans="1:23" ht="17.25">
      <c r="A57" s="389">
        <v>44</v>
      </c>
      <c r="B57" s="661">
        <v>17001</v>
      </c>
      <c r="C57" s="662" t="s">
        <v>710</v>
      </c>
      <c r="D57" s="641" t="s">
        <v>1237</v>
      </c>
      <c r="E57" s="641" t="s">
        <v>1238</v>
      </c>
      <c r="F57" s="641" t="s">
        <v>1239</v>
      </c>
      <c r="G57" s="642" t="s">
        <v>110</v>
      </c>
      <c r="H57" s="636" t="s">
        <v>1214</v>
      </c>
      <c r="I57" s="636" t="s">
        <v>1458</v>
      </c>
      <c r="J57" s="636" t="s">
        <v>1277</v>
      </c>
      <c r="K57" s="641" t="s">
        <v>1278</v>
      </c>
      <c r="L57" s="641" t="s">
        <v>1459</v>
      </c>
      <c r="M57" s="635" t="s">
        <v>1460</v>
      </c>
      <c r="N57" s="644" t="s">
        <v>1461</v>
      </c>
      <c r="O57" s="645">
        <v>2017</v>
      </c>
      <c r="P57" s="645"/>
      <c r="Q57" s="645"/>
      <c r="R57" s="644"/>
      <c r="S57" s="644"/>
      <c r="T57" s="644">
        <v>42809</v>
      </c>
      <c r="U57" s="647"/>
    </row>
    <row r="58" spans="1:23" ht="17.25">
      <c r="A58" s="389">
        <v>45</v>
      </c>
      <c r="B58" s="676">
        <v>10004</v>
      </c>
      <c r="C58" s="662" t="s">
        <v>709</v>
      </c>
      <c r="D58" s="641" t="s">
        <v>1237</v>
      </c>
      <c r="E58" s="641" t="s">
        <v>1238</v>
      </c>
      <c r="F58" s="641" t="s">
        <v>1239</v>
      </c>
      <c r="G58" s="642" t="s">
        <v>110</v>
      </c>
      <c r="H58" s="636" t="s">
        <v>1170</v>
      </c>
      <c r="I58" s="636" t="s">
        <v>1462</v>
      </c>
      <c r="J58" s="636" t="s">
        <v>1463</v>
      </c>
      <c r="K58" s="641" t="s">
        <v>1267</v>
      </c>
      <c r="L58" s="398" t="s">
        <v>1464</v>
      </c>
      <c r="M58" s="635" t="s">
        <v>1465</v>
      </c>
      <c r="N58" s="644" t="s">
        <v>1466</v>
      </c>
      <c r="O58" s="645">
        <v>2010</v>
      </c>
      <c r="P58" s="645"/>
      <c r="Q58" s="645"/>
      <c r="R58" s="644"/>
      <c r="S58" s="644"/>
      <c r="T58" s="644">
        <v>40257</v>
      </c>
      <c r="U58" s="647"/>
      <c r="V58" t="s">
        <v>1246</v>
      </c>
      <c r="W58">
        <v>43070</v>
      </c>
    </row>
    <row r="59" spans="1:23" ht="17.25">
      <c r="A59" s="389">
        <v>46</v>
      </c>
      <c r="B59" s="661">
        <v>24007</v>
      </c>
      <c r="C59" s="662" t="s">
        <v>209</v>
      </c>
      <c r="D59" s="641" t="s">
        <v>1237</v>
      </c>
      <c r="E59" s="641" t="s">
        <v>1238</v>
      </c>
      <c r="F59" s="641" t="s">
        <v>1239</v>
      </c>
      <c r="G59" s="641" t="s">
        <v>110</v>
      </c>
      <c r="H59" s="636" t="s">
        <v>1170</v>
      </c>
      <c r="I59" s="636" t="s">
        <v>1462</v>
      </c>
      <c r="J59" s="636" t="s">
        <v>1467</v>
      </c>
      <c r="K59" s="641" t="s">
        <v>1267</v>
      </c>
      <c r="L59" s="677" t="s">
        <v>1468</v>
      </c>
      <c r="M59" s="635" t="s">
        <v>1469</v>
      </c>
      <c r="N59" s="644" t="s">
        <v>1311</v>
      </c>
      <c r="O59" s="645">
        <v>2024</v>
      </c>
      <c r="P59" s="645"/>
      <c r="Q59" s="645"/>
      <c r="R59" s="644" t="s">
        <v>1311</v>
      </c>
      <c r="S59" s="644">
        <v>45579</v>
      </c>
      <c r="T59" s="644">
        <v>45580</v>
      </c>
      <c r="U59" s="647"/>
      <c r="V59" t="s">
        <v>1246</v>
      </c>
      <c r="W59">
        <v>40422</v>
      </c>
    </row>
    <row r="60" spans="1:23" ht="17.25">
      <c r="A60" s="389">
        <v>47</v>
      </c>
      <c r="B60" s="661">
        <v>25017</v>
      </c>
      <c r="C60" s="662" t="s">
        <v>708</v>
      </c>
      <c r="D60" s="641" t="s">
        <v>1237</v>
      </c>
      <c r="E60" s="641" t="s">
        <v>1238</v>
      </c>
      <c r="F60" s="641" t="s">
        <v>1239</v>
      </c>
      <c r="G60" s="642" t="s">
        <v>110</v>
      </c>
      <c r="H60" s="636" t="s">
        <v>1170</v>
      </c>
      <c r="I60" s="636" t="s">
        <v>1462</v>
      </c>
      <c r="J60" s="636" t="s">
        <v>1470</v>
      </c>
      <c r="K60" s="641" t="s">
        <v>1267</v>
      </c>
      <c r="L60" s="677" t="s">
        <v>1471</v>
      </c>
      <c r="M60" s="635" t="s">
        <v>1472</v>
      </c>
      <c r="N60" s="644" t="s">
        <v>1473</v>
      </c>
      <c r="O60" s="645">
        <v>2025</v>
      </c>
      <c r="P60" s="645"/>
      <c r="Q60" s="645"/>
      <c r="R60" s="644" t="s">
        <v>1473</v>
      </c>
      <c r="S60" s="644">
        <v>45894</v>
      </c>
      <c r="T60" s="644">
        <v>45895</v>
      </c>
      <c r="U60" s="663"/>
      <c r="V60" t="s">
        <v>1246</v>
      </c>
      <c r="W60">
        <v>45870</v>
      </c>
    </row>
    <row r="61" spans="1:23" ht="17.25">
      <c r="A61" s="389">
        <v>48</v>
      </c>
      <c r="B61" s="678">
        <v>25039</v>
      </c>
      <c r="C61" s="679" t="s">
        <v>164</v>
      </c>
      <c r="D61" s="641" t="s">
        <v>1237</v>
      </c>
      <c r="E61" s="641" t="s">
        <v>1238</v>
      </c>
      <c r="F61" s="641" t="s">
        <v>1239</v>
      </c>
      <c r="G61" s="642" t="s">
        <v>110</v>
      </c>
      <c r="H61" s="636" t="s">
        <v>1170</v>
      </c>
      <c r="I61" s="636" t="s">
        <v>1462</v>
      </c>
      <c r="J61" s="636" t="s">
        <v>1463</v>
      </c>
      <c r="K61" s="641" t="s">
        <v>1267</v>
      </c>
      <c r="L61" s="399" t="s">
        <v>1474</v>
      </c>
      <c r="M61" s="392" t="s">
        <v>1475</v>
      </c>
      <c r="N61" s="680" t="s">
        <v>1476</v>
      </c>
      <c r="O61" s="681">
        <v>2025</v>
      </c>
      <c r="P61" s="645"/>
      <c r="Q61" s="645"/>
      <c r="R61" s="682">
        <v>45978</v>
      </c>
      <c r="S61" s="682">
        <v>46038</v>
      </c>
      <c r="T61" s="682">
        <v>45674</v>
      </c>
      <c r="U61" s="683"/>
      <c r="V61" t="s">
        <v>1246</v>
      </c>
      <c r="W61">
        <v>45901</v>
      </c>
    </row>
    <row r="62" spans="1:23" ht="17.25">
      <c r="A62" s="389">
        <v>49</v>
      </c>
      <c r="B62" s="678">
        <v>25041</v>
      </c>
      <c r="C62" s="679" t="s">
        <v>216</v>
      </c>
      <c r="D62" s="641" t="s">
        <v>1237</v>
      </c>
      <c r="E62" s="641" t="s">
        <v>1238</v>
      </c>
      <c r="F62" s="641" t="s">
        <v>1239</v>
      </c>
      <c r="G62" s="642" t="s">
        <v>110</v>
      </c>
      <c r="H62" s="636" t="s">
        <v>1170</v>
      </c>
      <c r="I62" s="636" t="s">
        <v>1462</v>
      </c>
      <c r="J62" s="636" t="s">
        <v>1470</v>
      </c>
      <c r="K62" s="641" t="s">
        <v>1267</v>
      </c>
      <c r="L62" s="399" t="s">
        <v>1477</v>
      </c>
      <c r="M62" s="392" t="s">
        <v>1478</v>
      </c>
      <c r="N62" s="680" t="s">
        <v>1479</v>
      </c>
      <c r="O62" s="681">
        <v>2025</v>
      </c>
      <c r="P62" s="681"/>
      <c r="Q62" s="645"/>
      <c r="R62" s="682">
        <v>45985</v>
      </c>
      <c r="S62" s="682">
        <v>46045</v>
      </c>
      <c r="T62" s="682">
        <v>46023</v>
      </c>
      <c r="U62" s="683"/>
      <c r="V62" t="s">
        <v>1246</v>
      </c>
      <c r="W62">
        <v>46054</v>
      </c>
    </row>
    <row r="63" spans="1:23" ht="16.5">
      <c r="A63" s="630" t="s">
        <v>1133</v>
      </c>
      <c r="B63" s="631"/>
      <c r="C63" s="631"/>
      <c r="D63" s="631"/>
      <c r="E63" s="631"/>
      <c r="F63" s="631"/>
      <c r="G63" s="631"/>
      <c r="H63" s="631"/>
      <c r="I63" s="631"/>
      <c r="J63" s="631"/>
      <c r="K63" s="631"/>
      <c r="L63" s="631"/>
      <c r="M63" s="631"/>
      <c r="N63" s="632"/>
      <c r="O63" s="633"/>
      <c r="P63" s="633"/>
      <c r="Q63" s="633"/>
      <c r="R63" s="633"/>
      <c r="S63" s="633"/>
      <c r="T63" s="633"/>
      <c r="U63" s="633"/>
      <c r="V63" t="s">
        <v>1246</v>
      </c>
      <c r="W63">
        <v>46023</v>
      </c>
    </row>
    <row r="64" spans="1:23" ht="17.25">
      <c r="A64" s="389">
        <v>50</v>
      </c>
      <c r="B64" s="661">
        <v>25015</v>
      </c>
      <c r="C64" s="662" t="s">
        <v>748</v>
      </c>
      <c r="D64" s="641" t="s">
        <v>1237</v>
      </c>
      <c r="E64" s="642" t="s">
        <v>1238</v>
      </c>
      <c r="F64" s="642" t="s">
        <v>1239</v>
      </c>
      <c r="G64" s="642" t="s">
        <v>160</v>
      </c>
      <c r="H64" s="636" t="s">
        <v>1480</v>
      </c>
      <c r="I64" s="636" t="s">
        <v>1481</v>
      </c>
      <c r="J64" s="636" t="s">
        <v>1482</v>
      </c>
      <c r="K64" s="642" t="s">
        <v>1278</v>
      </c>
      <c r="L64" s="643" t="s">
        <v>1483</v>
      </c>
      <c r="M64" s="635" t="s">
        <v>1484</v>
      </c>
      <c r="N64" s="644" t="s">
        <v>1485</v>
      </c>
      <c r="O64" s="645">
        <v>2025</v>
      </c>
      <c r="P64" s="645"/>
      <c r="Q64" s="645"/>
      <c r="R64" s="644" t="s">
        <v>1485</v>
      </c>
      <c r="S64" s="644">
        <v>45869</v>
      </c>
      <c r="T64" s="644">
        <v>45870</v>
      </c>
      <c r="U64" s="663"/>
    </row>
    <row r="65" spans="1:28" ht="17.25">
      <c r="A65" s="389">
        <v>51</v>
      </c>
      <c r="B65" s="661">
        <v>25021</v>
      </c>
      <c r="C65" s="662" t="s">
        <v>115</v>
      </c>
      <c r="D65" s="641" t="s">
        <v>1237</v>
      </c>
      <c r="E65" s="642" t="s">
        <v>1238</v>
      </c>
      <c r="F65" s="642" t="s">
        <v>1239</v>
      </c>
      <c r="G65" s="642" t="s">
        <v>160</v>
      </c>
      <c r="H65" s="636" t="s">
        <v>1162</v>
      </c>
      <c r="I65" s="636" t="s">
        <v>1486</v>
      </c>
      <c r="J65" s="636" t="s">
        <v>1482</v>
      </c>
      <c r="K65" s="642" t="s">
        <v>1298</v>
      </c>
      <c r="L65" s="390" t="s">
        <v>1487</v>
      </c>
      <c r="M65" s="635" t="s">
        <v>1488</v>
      </c>
      <c r="N65" s="670" t="s">
        <v>1489</v>
      </c>
      <c r="O65" s="645">
        <v>2025</v>
      </c>
      <c r="P65" s="645"/>
      <c r="Q65" s="645"/>
      <c r="R65" s="644" t="s">
        <v>1489</v>
      </c>
      <c r="S65" s="644">
        <v>45914</v>
      </c>
      <c r="T65" s="644">
        <v>45915</v>
      </c>
      <c r="U65" s="663"/>
      <c r="V65" t="s">
        <v>1246</v>
      </c>
      <c r="W65">
        <v>45870</v>
      </c>
    </row>
    <row r="66" spans="1:28" ht="17.25">
      <c r="A66" s="389">
        <v>52</v>
      </c>
      <c r="B66" s="661">
        <v>26028</v>
      </c>
      <c r="C66" s="662" t="s">
        <v>1134</v>
      </c>
      <c r="D66" s="671" t="s">
        <v>1318</v>
      </c>
      <c r="E66" s="642" t="s">
        <v>1238</v>
      </c>
      <c r="F66" s="642" t="s">
        <v>1239</v>
      </c>
      <c r="G66" s="642" t="s">
        <v>160</v>
      </c>
      <c r="H66" s="636" t="s">
        <v>1212</v>
      </c>
      <c r="I66" s="636" t="s">
        <v>1490</v>
      </c>
      <c r="J66" s="636" t="s">
        <v>1482</v>
      </c>
      <c r="K66" s="642" t="s">
        <v>1298</v>
      </c>
      <c r="L66" s="391" t="s">
        <v>1491</v>
      </c>
      <c r="M66" s="635" t="e">
        <v>#N/A</v>
      </c>
      <c r="N66" s="670" t="s">
        <v>1320</v>
      </c>
      <c r="O66" s="645">
        <v>2026</v>
      </c>
      <c r="P66" s="645"/>
      <c r="Q66" s="645"/>
      <c r="R66" s="644" t="s">
        <v>1320</v>
      </c>
      <c r="S66" s="644">
        <v>46304</v>
      </c>
      <c r="T66" s="644"/>
      <c r="U66" s="663">
        <v>46304</v>
      </c>
      <c r="V66" t="s">
        <v>1246</v>
      </c>
      <c r="W66">
        <v>45901</v>
      </c>
      <c r="Z66" t="s">
        <v>1256</v>
      </c>
      <c r="AA66" t="s">
        <v>1256</v>
      </c>
      <c r="AB66" t="s">
        <v>1256</v>
      </c>
    </row>
    <row r="67" spans="1:28" ht="17.25">
      <c r="A67" s="389">
        <v>53</v>
      </c>
      <c r="B67" s="661">
        <v>26031</v>
      </c>
      <c r="C67" s="662" t="s">
        <v>1492</v>
      </c>
      <c r="D67" s="671" t="s">
        <v>1318</v>
      </c>
      <c r="E67" s="642" t="s">
        <v>1238</v>
      </c>
      <c r="F67" s="642" t="s">
        <v>1239</v>
      </c>
      <c r="G67" s="642" t="s">
        <v>160</v>
      </c>
      <c r="H67" s="636" t="s">
        <v>1493</v>
      </c>
      <c r="I67" s="636" t="s">
        <v>1493</v>
      </c>
      <c r="J67" s="636" t="s">
        <v>1482</v>
      </c>
      <c r="K67" s="642" t="s">
        <v>1298</v>
      </c>
      <c r="L67" s="391" t="s">
        <v>1494</v>
      </c>
      <c r="M67" s="635" t="e">
        <v>#N/A</v>
      </c>
      <c r="N67" s="670" t="s">
        <v>1495</v>
      </c>
      <c r="O67" s="645">
        <v>2026</v>
      </c>
      <c r="P67" s="645"/>
      <c r="Q67" s="645"/>
      <c r="R67" s="644" t="s">
        <v>1495</v>
      </c>
      <c r="S67" s="644">
        <v>46328</v>
      </c>
      <c r="T67" s="644"/>
      <c r="U67" s="663">
        <v>46328</v>
      </c>
      <c r="V67" t="s">
        <v>1318</v>
      </c>
    </row>
    <row r="68" spans="1:28" ht="26.25" customHeight="1">
      <c r="A68" s="400">
        <v>56</v>
      </c>
      <c r="B68" s="684">
        <v>26018</v>
      </c>
      <c r="C68" s="648" t="s">
        <v>1496</v>
      </c>
      <c r="D68" s="641" t="s">
        <v>1237</v>
      </c>
      <c r="E68" s="648" t="s">
        <v>1238</v>
      </c>
      <c r="F68" s="648" t="s">
        <v>1239</v>
      </c>
      <c r="G68" s="642" t="s">
        <v>160</v>
      </c>
      <c r="H68" s="642" t="s">
        <v>1497</v>
      </c>
      <c r="I68" s="649" t="s">
        <v>1498</v>
      </c>
      <c r="J68" s="636" t="s">
        <v>1482</v>
      </c>
      <c r="K68" s="649" t="s">
        <v>1298</v>
      </c>
      <c r="L68" s="642" t="s">
        <v>1169</v>
      </c>
      <c r="M68" s="648" t="s">
        <v>1256</v>
      </c>
      <c r="N68" s="650" t="s">
        <v>1499</v>
      </c>
      <c r="O68" s="645">
        <v>2026</v>
      </c>
      <c r="P68" s="645"/>
      <c r="Q68" s="645"/>
      <c r="R68" s="644"/>
      <c r="S68" s="685"/>
      <c r="T68" s="651"/>
      <c r="U68" s="653" t="s">
        <v>1256</v>
      </c>
      <c r="W68" t="s">
        <v>1256</v>
      </c>
      <c r="X68" t="s">
        <v>1256</v>
      </c>
      <c r="Y68" t="s">
        <v>1256</v>
      </c>
    </row>
    <row r="69" spans="1:28" ht="17.25">
      <c r="A69" s="389">
        <v>55</v>
      </c>
      <c r="B69" s="661">
        <v>26007</v>
      </c>
      <c r="C69" s="662" t="s">
        <v>1500</v>
      </c>
      <c r="D69" s="641" t="s">
        <v>1237</v>
      </c>
      <c r="E69" s="642" t="s">
        <v>1238</v>
      </c>
      <c r="F69" s="642" t="s">
        <v>1239</v>
      </c>
      <c r="G69" s="642" t="s">
        <v>160</v>
      </c>
      <c r="H69" s="636" t="s">
        <v>1199</v>
      </c>
      <c r="I69" s="636" t="s">
        <v>1501</v>
      </c>
      <c r="J69" s="636" t="s">
        <v>1502</v>
      </c>
      <c r="K69" s="642" t="s">
        <v>1267</v>
      </c>
      <c r="L69" s="391" t="s">
        <v>1503</v>
      </c>
      <c r="M69" s="392" t="s">
        <v>1504</v>
      </c>
      <c r="N69" s="670" t="s">
        <v>1505</v>
      </c>
      <c r="O69" s="645">
        <v>2026</v>
      </c>
      <c r="P69" s="644"/>
      <c r="Q69" s="644"/>
      <c r="R69" s="644"/>
      <c r="S69" s="644"/>
      <c r="T69" s="644">
        <v>46104</v>
      </c>
      <c r="U69" s="659"/>
      <c r="V69" t="s">
        <v>1246</v>
      </c>
      <c r="W69">
        <v>46174</v>
      </c>
    </row>
    <row r="70" spans="1:28" ht="16.5">
      <c r="A70" s="630" t="s">
        <v>1135</v>
      </c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2"/>
      <c r="O70" s="633"/>
      <c r="P70" s="633"/>
      <c r="Q70" s="633"/>
      <c r="R70" s="633"/>
      <c r="S70" s="633"/>
      <c r="T70" s="633"/>
      <c r="U70" s="633"/>
    </row>
    <row r="71" spans="1:28" ht="25.5" customHeight="1">
      <c r="A71" s="389">
        <v>56</v>
      </c>
      <c r="B71" s="661">
        <v>25043</v>
      </c>
      <c r="C71" s="662" t="s">
        <v>1506</v>
      </c>
      <c r="D71" s="641" t="s">
        <v>1237</v>
      </c>
      <c r="E71" s="642" t="s">
        <v>1238</v>
      </c>
      <c r="F71" s="642" t="s">
        <v>1239</v>
      </c>
      <c r="G71" s="665" t="s">
        <v>1507</v>
      </c>
      <c r="H71" s="636" t="s">
        <v>1160</v>
      </c>
      <c r="I71" s="636" t="s">
        <v>1508</v>
      </c>
      <c r="J71" s="636" t="s">
        <v>1509</v>
      </c>
      <c r="K71" s="642" t="s">
        <v>1267</v>
      </c>
      <c r="L71" s="390" t="s">
        <v>1510</v>
      </c>
      <c r="M71" s="401" t="s">
        <v>1511</v>
      </c>
      <c r="N71" s="670" t="s">
        <v>1512</v>
      </c>
      <c r="O71" s="645">
        <v>2025</v>
      </c>
      <c r="P71" s="645"/>
      <c r="Q71" s="645"/>
      <c r="R71" s="644" t="s">
        <v>1512</v>
      </c>
      <c r="S71" s="644">
        <v>46363</v>
      </c>
      <c r="T71" s="644">
        <v>46043</v>
      </c>
      <c r="U71" s="647"/>
      <c r="V71" t="s">
        <v>1246</v>
      </c>
      <c r="W71">
        <v>46054</v>
      </c>
    </row>
    <row r="72" spans="1:28" ht="17.25">
      <c r="A72" s="389">
        <v>57</v>
      </c>
      <c r="B72" s="661">
        <v>26024</v>
      </c>
      <c r="C72" s="662" t="s">
        <v>1513</v>
      </c>
      <c r="D72" s="671" t="s">
        <v>1318</v>
      </c>
      <c r="E72" s="642" t="s">
        <v>1238</v>
      </c>
      <c r="F72" s="642" t="s">
        <v>1239</v>
      </c>
      <c r="G72" s="665" t="s">
        <v>1507</v>
      </c>
      <c r="H72" s="636" t="s">
        <v>1160</v>
      </c>
      <c r="I72" s="636" t="s">
        <v>1514</v>
      </c>
      <c r="J72" s="636" t="s">
        <v>1509</v>
      </c>
      <c r="K72" s="642" t="s">
        <v>1267</v>
      </c>
      <c r="L72" s="391" t="s">
        <v>1515</v>
      </c>
      <c r="M72" s="401"/>
      <c r="N72" s="670" t="s">
        <v>1389</v>
      </c>
      <c r="O72" s="645">
        <v>2026</v>
      </c>
      <c r="P72" s="645"/>
      <c r="Q72" s="645"/>
      <c r="R72" s="644" t="s">
        <v>1389</v>
      </c>
      <c r="S72" s="644">
        <v>46297</v>
      </c>
      <c r="T72" s="644"/>
      <c r="U72" s="659">
        <v>46297</v>
      </c>
      <c r="V72" t="s">
        <v>1318</v>
      </c>
    </row>
    <row r="73" spans="1:28" ht="17.25">
      <c r="A73" s="389">
        <v>58</v>
      </c>
      <c r="B73" s="661">
        <v>26030</v>
      </c>
      <c r="C73" s="662" t="s">
        <v>1516</v>
      </c>
      <c r="D73" s="671" t="s">
        <v>1318</v>
      </c>
      <c r="E73" s="642" t="s">
        <v>1238</v>
      </c>
      <c r="F73" s="642" t="s">
        <v>1239</v>
      </c>
      <c r="G73" s="665" t="s">
        <v>1507</v>
      </c>
      <c r="H73" s="636" t="s">
        <v>1517</v>
      </c>
      <c r="I73" s="636" t="s">
        <v>1518</v>
      </c>
      <c r="J73" s="636" t="s">
        <v>1509</v>
      </c>
      <c r="K73" s="649" t="s">
        <v>1298</v>
      </c>
      <c r="L73" s="391" t="s">
        <v>1519</v>
      </c>
      <c r="M73" s="401"/>
      <c r="N73" s="670" t="s">
        <v>1495</v>
      </c>
      <c r="O73" s="645">
        <v>2026</v>
      </c>
      <c r="P73" s="645"/>
      <c r="Q73" s="645"/>
      <c r="R73" s="644" t="s">
        <v>1495</v>
      </c>
      <c r="S73" s="644">
        <v>46328</v>
      </c>
      <c r="T73" s="644"/>
      <c r="U73" s="663">
        <v>46328</v>
      </c>
    </row>
    <row r="74" spans="1:28" ht="16.5">
      <c r="A74" s="630" t="s">
        <v>1138</v>
      </c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2"/>
      <c r="O74" s="633"/>
      <c r="P74" s="633"/>
      <c r="Q74" s="633"/>
      <c r="R74" s="633"/>
      <c r="S74" s="633"/>
      <c r="T74" s="633"/>
      <c r="U74" s="633"/>
      <c r="V74" t="s">
        <v>1246</v>
      </c>
    </row>
    <row r="75" spans="1:28" ht="17.25">
      <c r="A75" s="400">
        <v>59</v>
      </c>
      <c r="B75" s="640">
        <v>19001</v>
      </c>
      <c r="C75" s="669" t="s">
        <v>1520</v>
      </c>
      <c r="D75" s="641" t="s">
        <v>1237</v>
      </c>
      <c r="E75" s="642" t="s">
        <v>1238</v>
      </c>
      <c r="F75" s="642" t="s">
        <v>1521</v>
      </c>
      <c r="G75" s="641" t="s">
        <v>683</v>
      </c>
      <c r="H75" s="641" t="s">
        <v>1522</v>
      </c>
      <c r="I75" s="641" t="s">
        <v>1523</v>
      </c>
      <c r="J75" s="636">
        <v>0</v>
      </c>
      <c r="K75" s="641" t="s">
        <v>1242</v>
      </c>
      <c r="L75" s="642" t="s">
        <v>1524</v>
      </c>
      <c r="M75" s="641"/>
      <c r="N75" s="644" t="s">
        <v>1525</v>
      </c>
      <c r="O75" s="645">
        <v>2019</v>
      </c>
      <c r="P75" s="645"/>
      <c r="Q75" s="645"/>
      <c r="R75" s="644" t="s">
        <v>1525</v>
      </c>
      <c r="S75" s="644">
        <v>43830</v>
      </c>
      <c r="T75" s="644">
        <v>43831</v>
      </c>
      <c r="U75" s="647"/>
    </row>
    <row r="76" spans="1:28" ht="17.25">
      <c r="A76" s="400">
        <v>60</v>
      </c>
      <c r="B76" s="640">
        <v>16003</v>
      </c>
      <c r="C76" s="641" t="s">
        <v>1526</v>
      </c>
      <c r="D76" s="641" t="s">
        <v>1237</v>
      </c>
      <c r="E76" s="641" t="s">
        <v>1238</v>
      </c>
      <c r="F76" s="641" t="s">
        <v>1521</v>
      </c>
      <c r="G76" s="641" t="s">
        <v>683</v>
      </c>
      <c r="H76" s="636" t="s">
        <v>1527</v>
      </c>
      <c r="I76" s="641" t="s">
        <v>1528</v>
      </c>
      <c r="J76" s="636">
        <v>0</v>
      </c>
      <c r="K76" s="642" t="s">
        <v>1285</v>
      </c>
      <c r="L76" s="642" t="s">
        <v>1169</v>
      </c>
      <c r="M76" s="641"/>
      <c r="N76" s="644" t="s">
        <v>1529</v>
      </c>
      <c r="O76" s="645">
        <v>2016</v>
      </c>
      <c r="P76" s="645"/>
      <c r="Q76" s="645"/>
      <c r="R76" s="644"/>
      <c r="S76" s="644"/>
      <c r="T76" s="644">
        <v>42700</v>
      </c>
      <c r="U76" s="647"/>
      <c r="V76" t="s">
        <v>1246</v>
      </c>
    </row>
    <row r="77" spans="1:28" ht="17.25">
      <c r="A77" s="400">
        <v>61</v>
      </c>
      <c r="B77" s="640">
        <v>16002</v>
      </c>
      <c r="C77" s="669" t="s">
        <v>1530</v>
      </c>
      <c r="D77" s="641" t="s">
        <v>1237</v>
      </c>
      <c r="E77" s="641" t="s">
        <v>1238</v>
      </c>
      <c r="F77" s="641" t="s">
        <v>1521</v>
      </c>
      <c r="G77" s="641" t="s">
        <v>683</v>
      </c>
      <c r="H77" s="636" t="s">
        <v>1531</v>
      </c>
      <c r="I77" s="641" t="s">
        <v>1532</v>
      </c>
      <c r="J77" s="636">
        <v>0</v>
      </c>
      <c r="K77" s="642" t="s">
        <v>1267</v>
      </c>
      <c r="L77" s="642" t="s">
        <v>1169</v>
      </c>
      <c r="M77" s="641"/>
      <c r="N77" s="644" t="s">
        <v>1533</v>
      </c>
      <c r="O77" s="645">
        <v>2016</v>
      </c>
      <c r="P77" s="645"/>
      <c r="Q77" s="645"/>
      <c r="R77" s="644"/>
      <c r="S77" s="644"/>
      <c r="T77" s="644">
        <v>42644</v>
      </c>
      <c r="U77" s="647"/>
      <c r="V77" t="s">
        <v>1246</v>
      </c>
    </row>
    <row r="78" spans="1:28" ht="17.25">
      <c r="A78" s="400">
        <v>62</v>
      </c>
      <c r="B78" s="640">
        <v>25005</v>
      </c>
      <c r="C78" s="641" t="s">
        <v>1534</v>
      </c>
      <c r="D78" s="641" t="s">
        <v>1237</v>
      </c>
      <c r="E78" s="641" t="s">
        <v>1238</v>
      </c>
      <c r="F78" s="641" t="s">
        <v>1521</v>
      </c>
      <c r="G78" s="641" t="s">
        <v>683</v>
      </c>
      <c r="H78" s="636" t="s">
        <v>1168</v>
      </c>
      <c r="I78" s="641" t="s">
        <v>1535</v>
      </c>
      <c r="J78" s="636">
        <v>0</v>
      </c>
      <c r="K78" s="642" t="s">
        <v>1298</v>
      </c>
      <c r="L78" s="642" t="s">
        <v>1169</v>
      </c>
      <c r="M78" s="641"/>
      <c r="N78" s="644" t="s">
        <v>1536</v>
      </c>
      <c r="O78" s="645">
        <v>2025</v>
      </c>
      <c r="P78" s="645"/>
      <c r="Q78" s="645"/>
      <c r="R78" s="644"/>
      <c r="S78" s="644"/>
      <c r="T78" s="644">
        <v>45748</v>
      </c>
      <c r="U78" s="647"/>
      <c r="V78" t="s">
        <v>1246</v>
      </c>
    </row>
    <row r="79" spans="1:28" ht="17.25">
      <c r="A79" s="400">
        <v>63</v>
      </c>
      <c r="B79" s="640">
        <v>25007</v>
      </c>
      <c r="C79" s="641" t="s">
        <v>1537</v>
      </c>
      <c r="D79" s="641" t="s">
        <v>1237</v>
      </c>
      <c r="E79" s="641" t="s">
        <v>1238</v>
      </c>
      <c r="F79" s="641" t="s">
        <v>1521</v>
      </c>
      <c r="G79" s="641" t="s">
        <v>683</v>
      </c>
      <c r="H79" s="636" t="s">
        <v>1168</v>
      </c>
      <c r="I79" s="641" t="s">
        <v>1535</v>
      </c>
      <c r="J79" s="636">
        <v>0</v>
      </c>
      <c r="K79" s="642" t="s">
        <v>1298</v>
      </c>
      <c r="L79" s="642" t="s">
        <v>1169</v>
      </c>
      <c r="M79" s="641"/>
      <c r="N79" s="644" t="s">
        <v>1536</v>
      </c>
      <c r="O79" s="645">
        <v>2025</v>
      </c>
      <c r="P79" s="645"/>
      <c r="Q79" s="645"/>
      <c r="R79" s="644"/>
      <c r="S79" s="644"/>
      <c r="T79" s="644">
        <v>45748</v>
      </c>
      <c r="U79" s="647"/>
      <c r="V79" t="s">
        <v>1246</v>
      </c>
    </row>
    <row r="80" spans="1:28" ht="17.25">
      <c r="A80" s="400">
        <v>64</v>
      </c>
      <c r="B80" s="640">
        <v>25008</v>
      </c>
      <c r="C80" s="641" t="s">
        <v>1538</v>
      </c>
      <c r="D80" s="641" t="s">
        <v>1237</v>
      </c>
      <c r="E80" s="641" t="s">
        <v>1238</v>
      </c>
      <c r="F80" s="641" t="s">
        <v>1521</v>
      </c>
      <c r="G80" s="641" t="s">
        <v>683</v>
      </c>
      <c r="H80" s="636" t="s">
        <v>1168</v>
      </c>
      <c r="I80" s="641" t="s">
        <v>1535</v>
      </c>
      <c r="J80" s="636">
        <v>0</v>
      </c>
      <c r="K80" s="642" t="s">
        <v>1298</v>
      </c>
      <c r="L80" s="642" t="s">
        <v>1169</v>
      </c>
      <c r="M80" s="641"/>
      <c r="N80" s="644" t="s">
        <v>1536</v>
      </c>
      <c r="O80" s="645">
        <v>2025</v>
      </c>
      <c r="P80" s="645"/>
      <c r="Q80" s="645"/>
      <c r="R80" s="644"/>
      <c r="S80" s="644"/>
      <c r="T80" s="644">
        <v>45748</v>
      </c>
      <c r="U80" s="647"/>
      <c r="V80" t="s">
        <v>1246</v>
      </c>
    </row>
    <row r="81" spans="1:29" ht="17.25">
      <c r="A81" s="400">
        <v>65</v>
      </c>
      <c r="B81" s="640">
        <v>25033</v>
      </c>
      <c r="C81" s="641" t="s">
        <v>1539</v>
      </c>
      <c r="D81" s="641" t="s">
        <v>1237</v>
      </c>
      <c r="E81" s="641" t="s">
        <v>1238</v>
      </c>
      <c r="F81" s="641" t="s">
        <v>1521</v>
      </c>
      <c r="G81" s="641" t="s">
        <v>683</v>
      </c>
      <c r="H81" s="636" t="s">
        <v>1168</v>
      </c>
      <c r="I81" s="641" t="s">
        <v>1535</v>
      </c>
      <c r="J81" s="636">
        <v>0</v>
      </c>
      <c r="K81" s="642" t="s">
        <v>1298</v>
      </c>
      <c r="L81" s="642" t="s">
        <v>1169</v>
      </c>
      <c r="M81" s="641"/>
      <c r="N81" s="670" t="s">
        <v>1540</v>
      </c>
      <c r="O81" s="645">
        <v>2025</v>
      </c>
      <c r="P81" s="645"/>
      <c r="Q81" s="645"/>
      <c r="R81" s="644">
        <v>45915</v>
      </c>
      <c r="S81" s="644">
        <v>45975</v>
      </c>
      <c r="T81" s="644">
        <v>45992</v>
      </c>
      <c r="U81" s="663"/>
    </row>
    <row r="82" spans="1:29" ht="17.25">
      <c r="A82" s="400">
        <v>66</v>
      </c>
      <c r="B82" s="640">
        <v>25034</v>
      </c>
      <c r="C82" s="641" t="s">
        <v>1541</v>
      </c>
      <c r="D82" s="641" t="s">
        <v>1237</v>
      </c>
      <c r="E82" s="641" t="s">
        <v>1238</v>
      </c>
      <c r="F82" s="641" t="s">
        <v>1521</v>
      </c>
      <c r="G82" s="641" t="s">
        <v>683</v>
      </c>
      <c r="H82" s="636" t="s">
        <v>1168</v>
      </c>
      <c r="I82" s="641" t="s">
        <v>1535</v>
      </c>
      <c r="J82" s="636">
        <v>0</v>
      </c>
      <c r="K82" s="642" t="s">
        <v>1298</v>
      </c>
      <c r="L82" s="642" t="s">
        <v>1169</v>
      </c>
      <c r="M82" s="641"/>
      <c r="N82" s="670" t="s">
        <v>1540</v>
      </c>
      <c r="O82" s="645">
        <v>2025</v>
      </c>
      <c r="P82" s="645"/>
      <c r="Q82" s="645"/>
      <c r="R82" s="644">
        <v>45915</v>
      </c>
      <c r="S82" s="644">
        <v>45975</v>
      </c>
      <c r="T82" s="644">
        <v>45992</v>
      </c>
      <c r="U82" s="663"/>
    </row>
    <row r="83" spans="1:29" ht="17.25">
      <c r="A83" s="400">
        <v>67</v>
      </c>
      <c r="B83" s="640">
        <v>26010</v>
      </c>
      <c r="C83" s="641" t="s">
        <v>1542</v>
      </c>
      <c r="D83" s="641" t="s">
        <v>1318</v>
      </c>
      <c r="E83" s="641" t="s">
        <v>1238</v>
      </c>
      <c r="F83" s="641" t="s">
        <v>1521</v>
      </c>
      <c r="G83" s="641" t="s">
        <v>683</v>
      </c>
      <c r="H83" s="636" t="s">
        <v>1168</v>
      </c>
      <c r="I83" s="641" t="s">
        <v>1535</v>
      </c>
      <c r="J83" s="636">
        <v>0</v>
      </c>
      <c r="K83" s="642" t="s">
        <v>1298</v>
      </c>
      <c r="L83" s="642" t="s">
        <v>1169</v>
      </c>
      <c r="M83" s="641"/>
      <c r="N83" s="670" t="s">
        <v>1543</v>
      </c>
      <c r="O83" s="645">
        <v>2026</v>
      </c>
      <c r="P83" s="645"/>
      <c r="Q83" s="645"/>
      <c r="R83" s="644">
        <v>46082</v>
      </c>
      <c r="S83" s="644">
        <v>46142</v>
      </c>
      <c r="T83" s="644"/>
      <c r="U83" s="663"/>
      <c r="Z83" t="s">
        <v>1256</v>
      </c>
      <c r="AA83" t="s">
        <v>1256</v>
      </c>
      <c r="AB83" t="s">
        <v>1256</v>
      </c>
    </row>
    <row r="84" spans="1:29" ht="17.25">
      <c r="A84" s="400">
        <v>68</v>
      </c>
      <c r="B84" s="640">
        <v>26011</v>
      </c>
      <c r="C84" s="641" t="s">
        <v>1544</v>
      </c>
      <c r="D84" s="641" t="s">
        <v>1318</v>
      </c>
      <c r="E84" s="641" t="s">
        <v>1238</v>
      </c>
      <c r="F84" s="641" t="s">
        <v>1521</v>
      </c>
      <c r="G84" s="641" t="s">
        <v>683</v>
      </c>
      <c r="H84" s="636" t="s">
        <v>1168</v>
      </c>
      <c r="I84" s="641" t="s">
        <v>1535</v>
      </c>
      <c r="J84" s="636">
        <v>0</v>
      </c>
      <c r="K84" s="642" t="s">
        <v>1298</v>
      </c>
      <c r="L84" s="642" t="s">
        <v>1169</v>
      </c>
      <c r="M84" s="641"/>
      <c r="N84" s="670" t="s">
        <v>1545</v>
      </c>
      <c r="O84" s="645">
        <v>2026</v>
      </c>
      <c r="P84" s="645"/>
      <c r="Q84" s="645"/>
      <c r="R84" s="644">
        <v>46096</v>
      </c>
      <c r="S84" s="644">
        <v>46156</v>
      </c>
      <c r="T84" s="644"/>
      <c r="U84" s="663"/>
      <c r="Z84" t="s">
        <v>1256</v>
      </c>
      <c r="AA84" t="s">
        <v>1256</v>
      </c>
      <c r="AB84" t="s">
        <v>1256</v>
      </c>
    </row>
    <row r="85" spans="1:29" ht="17.25">
      <c r="A85" s="400">
        <v>69</v>
      </c>
      <c r="B85" s="640">
        <v>26029</v>
      </c>
      <c r="C85" s="641" t="s">
        <v>1546</v>
      </c>
      <c r="D85" s="641" t="s">
        <v>1318</v>
      </c>
      <c r="E85" s="641" t="s">
        <v>1238</v>
      </c>
      <c r="F85" s="641" t="s">
        <v>1521</v>
      </c>
      <c r="G85" s="641" t="s">
        <v>683</v>
      </c>
      <c r="H85" s="636" t="s">
        <v>1168</v>
      </c>
      <c r="I85" s="641" t="s">
        <v>1535</v>
      </c>
      <c r="J85" s="636">
        <v>0</v>
      </c>
      <c r="K85" s="642" t="s">
        <v>1298</v>
      </c>
      <c r="L85" s="642" t="s">
        <v>1169</v>
      </c>
      <c r="M85" s="641"/>
      <c r="N85" s="670">
        <v>46250</v>
      </c>
      <c r="O85" s="645">
        <v>2026</v>
      </c>
      <c r="P85" s="645"/>
      <c r="Q85" s="645"/>
      <c r="R85" s="644">
        <v>46250</v>
      </c>
      <c r="S85" s="644">
        <v>46310</v>
      </c>
      <c r="T85" s="644"/>
      <c r="U85" s="663"/>
      <c r="V85" t="s">
        <v>1246</v>
      </c>
      <c r="W85" t="s">
        <v>1256</v>
      </c>
      <c r="X85" t="s">
        <v>1256</v>
      </c>
      <c r="Y85" t="s">
        <v>1256</v>
      </c>
      <c r="Z85" t="s">
        <v>1256</v>
      </c>
      <c r="AA85" t="s">
        <v>1256</v>
      </c>
      <c r="AB85" t="s">
        <v>1256</v>
      </c>
    </row>
    <row r="86" spans="1:29" ht="16.5">
      <c r="A86" s="630" t="s">
        <v>1139</v>
      </c>
      <c r="B86" s="631"/>
      <c r="C86" s="631"/>
      <c r="D86" s="631"/>
      <c r="E86" s="631"/>
      <c r="F86" s="631"/>
      <c r="G86" s="631"/>
      <c r="H86" s="631"/>
      <c r="I86" s="631"/>
      <c r="J86" s="631"/>
      <c r="K86" s="631"/>
      <c r="L86" s="631"/>
      <c r="M86" s="631"/>
      <c r="N86" s="632"/>
      <c r="O86" s="633"/>
      <c r="P86" s="633"/>
      <c r="Q86" s="633"/>
      <c r="R86" s="633"/>
      <c r="S86" s="633"/>
      <c r="T86" s="633"/>
      <c r="U86" s="633"/>
      <c r="V86" t="s">
        <v>1246</v>
      </c>
      <c r="W86" t="s">
        <v>1256</v>
      </c>
      <c r="X86" t="s">
        <v>1256</v>
      </c>
      <c r="Y86" t="s">
        <v>1256</v>
      </c>
    </row>
    <row r="87" spans="1:29" ht="17.25">
      <c r="A87" s="400">
        <v>70</v>
      </c>
      <c r="B87" s="684">
        <v>10005</v>
      </c>
      <c r="C87" s="648" t="s">
        <v>1547</v>
      </c>
      <c r="D87" s="641" t="s">
        <v>1237</v>
      </c>
      <c r="E87" s="649" t="s">
        <v>1238</v>
      </c>
      <c r="F87" s="649" t="s">
        <v>1239</v>
      </c>
      <c r="G87" s="649" t="s">
        <v>271</v>
      </c>
      <c r="H87" s="642" t="s">
        <v>1497</v>
      </c>
      <c r="I87" s="649" t="s">
        <v>1498</v>
      </c>
      <c r="J87" s="649"/>
      <c r="K87" s="649" t="s">
        <v>1298</v>
      </c>
      <c r="L87" s="642" t="s">
        <v>1169</v>
      </c>
      <c r="M87" s="648" t="s">
        <v>1256</v>
      </c>
      <c r="N87" s="644" t="s">
        <v>1245</v>
      </c>
      <c r="O87" s="645">
        <v>2010</v>
      </c>
      <c r="P87" s="645"/>
      <c r="Q87" s="645"/>
      <c r="R87" s="651" t="s">
        <v>1256</v>
      </c>
      <c r="S87" s="652" t="s">
        <v>1256</v>
      </c>
      <c r="T87" s="644">
        <v>40198</v>
      </c>
      <c r="U87" s="653" t="s">
        <v>1256</v>
      </c>
      <c r="W87" t="s">
        <v>1256</v>
      </c>
      <c r="X87" t="s">
        <v>1256</v>
      </c>
      <c r="Y87" t="s">
        <v>1256</v>
      </c>
    </row>
    <row r="88" spans="1:29" ht="17.25">
      <c r="A88" s="400">
        <v>71</v>
      </c>
      <c r="B88" s="684">
        <v>10006</v>
      </c>
      <c r="C88" s="648" t="s">
        <v>1548</v>
      </c>
      <c r="D88" s="641" t="s">
        <v>1237</v>
      </c>
      <c r="E88" s="648" t="s">
        <v>1238</v>
      </c>
      <c r="F88" s="648" t="s">
        <v>1239</v>
      </c>
      <c r="G88" s="649" t="s">
        <v>271</v>
      </c>
      <c r="H88" s="642" t="s">
        <v>1549</v>
      </c>
      <c r="I88" s="649" t="s">
        <v>1550</v>
      </c>
      <c r="J88" s="649"/>
      <c r="K88" s="649" t="s">
        <v>1298</v>
      </c>
      <c r="L88" s="642" t="s">
        <v>1169</v>
      </c>
      <c r="M88" s="648" t="s">
        <v>1256</v>
      </c>
      <c r="N88" s="650" t="s">
        <v>1551</v>
      </c>
      <c r="O88" s="645">
        <v>2021</v>
      </c>
      <c r="P88" s="645"/>
      <c r="Q88" s="645"/>
      <c r="R88" s="644" t="s">
        <v>1551</v>
      </c>
      <c r="S88" s="685">
        <v>44561</v>
      </c>
      <c r="T88" s="651" t="s">
        <v>1552</v>
      </c>
      <c r="U88" s="653" t="s">
        <v>1256</v>
      </c>
    </row>
    <row r="89" spans="1:29" ht="17.25">
      <c r="A89" s="400">
        <v>72</v>
      </c>
      <c r="B89" s="684" t="s">
        <v>1553</v>
      </c>
      <c r="C89" s="648" t="s">
        <v>1554</v>
      </c>
      <c r="D89" s="641" t="s">
        <v>1237</v>
      </c>
      <c r="E89" s="648" t="s">
        <v>1238</v>
      </c>
      <c r="F89" s="648" t="s">
        <v>1239</v>
      </c>
      <c r="G89" s="649" t="s">
        <v>271</v>
      </c>
      <c r="H89" s="642"/>
      <c r="I89" s="649" t="s">
        <v>1555</v>
      </c>
      <c r="J89" s="649"/>
      <c r="K89" s="649" t="s">
        <v>1298</v>
      </c>
      <c r="L89" s="642" t="s">
        <v>1169</v>
      </c>
      <c r="M89" s="648" t="s">
        <v>1256</v>
      </c>
      <c r="N89" s="650"/>
      <c r="O89" s="645"/>
      <c r="P89" s="645"/>
      <c r="Q89" s="645"/>
      <c r="R89" s="644"/>
      <c r="S89" s="685"/>
      <c r="T89" s="651"/>
      <c r="U89" s="653" t="s">
        <v>1256</v>
      </c>
      <c r="Y89">
        <v>45829</v>
      </c>
    </row>
    <row r="90" spans="1:29" ht="16.5">
      <c r="A90" s="686"/>
      <c r="B90" s="686"/>
      <c r="C90" s="686"/>
      <c r="D90" s="686"/>
      <c r="E90" s="686"/>
      <c r="F90" s="687"/>
      <c r="G90" s="687"/>
      <c r="H90" s="687"/>
      <c r="I90" s="687"/>
      <c r="J90" s="687"/>
      <c r="K90" s="687"/>
      <c r="L90" s="687"/>
      <c r="M90" s="687"/>
      <c r="N90" s="688"/>
      <c r="O90" s="686"/>
      <c r="P90" s="686"/>
      <c r="Q90" s="686"/>
      <c r="R90" s="686"/>
      <c r="S90" s="686"/>
      <c r="T90" s="686"/>
      <c r="U90" s="687"/>
      <c r="Y90">
        <v>45829</v>
      </c>
    </row>
    <row r="91" spans="1:29" ht="16.5">
      <c r="A91" s="689">
        <v>1</v>
      </c>
      <c r="B91" s="690"/>
      <c r="C91" s="691" t="s">
        <v>1151</v>
      </c>
      <c r="D91" s="692" t="s">
        <v>1152</v>
      </c>
      <c r="E91" s="693" t="s">
        <v>1238</v>
      </c>
      <c r="F91" s="693" t="s">
        <v>1239</v>
      </c>
      <c r="G91" s="693" t="s">
        <v>160</v>
      </c>
      <c r="H91" s="693" t="s">
        <v>1153</v>
      </c>
      <c r="I91" s="693" t="s">
        <v>1556</v>
      </c>
      <c r="J91" s="693"/>
      <c r="K91" s="693" t="s">
        <v>1298</v>
      </c>
      <c r="L91" s="693"/>
      <c r="M91" s="693"/>
      <c r="N91" s="694" t="s">
        <v>1557</v>
      </c>
      <c r="O91" s="695">
        <v>2025</v>
      </c>
      <c r="P91" s="695"/>
      <c r="Q91" s="695"/>
      <c r="R91" s="694">
        <v>45733</v>
      </c>
      <c r="S91" s="694">
        <v>45828</v>
      </c>
      <c r="T91" s="695"/>
      <c r="U91" s="696"/>
      <c r="Y91">
        <v>45836</v>
      </c>
    </row>
    <row r="92" spans="1:29" ht="16.5">
      <c r="A92" s="689">
        <v>2</v>
      </c>
      <c r="B92" s="690"/>
      <c r="C92" s="691" t="s">
        <v>1010</v>
      </c>
      <c r="D92" s="692" t="s">
        <v>1152</v>
      </c>
      <c r="E92" s="693" t="s">
        <v>1238</v>
      </c>
      <c r="F92" s="693" t="s">
        <v>1239</v>
      </c>
      <c r="G92" s="693" t="s">
        <v>160</v>
      </c>
      <c r="H92" s="693" t="s">
        <v>1155</v>
      </c>
      <c r="I92" s="693" t="s">
        <v>1481</v>
      </c>
      <c r="J92" s="693"/>
      <c r="K92" s="693" t="s">
        <v>1278</v>
      </c>
      <c r="L92" s="693"/>
      <c r="M92" s="693"/>
      <c r="N92" s="694" t="s">
        <v>1558</v>
      </c>
      <c r="O92" s="695">
        <v>2025</v>
      </c>
      <c r="P92" s="695"/>
      <c r="Q92" s="695"/>
      <c r="R92" s="694">
        <v>45719</v>
      </c>
      <c r="S92" s="694">
        <v>45828</v>
      </c>
      <c r="T92" s="695"/>
      <c r="U92" s="696"/>
      <c r="V92" t="s">
        <v>1318</v>
      </c>
      <c r="Y92">
        <v>45839</v>
      </c>
    </row>
    <row r="93" spans="1:29" ht="16.5">
      <c r="A93" s="689">
        <v>3</v>
      </c>
      <c r="B93" s="690">
        <v>25004</v>
      </c>
      <c r="C93" s="691" t="s">
        <v>1559</v>
      </c>
      <c r="D93" s="692" t="s">
        <v>1152</v>
      </c>
      <c r="E93" s="693" t="s">
        <v>1238</v>
      </c>
      <c r="F93" s="693" t="s">
        <v>1239</v>
      </c>
      <c r="G93" s="693" t="s">
        <v>136</v>
      </c>
      <c r="H93" s="691" t="s">
        <v>1156</v>
      </c>
      <c r="I93" s="691" t="s">
        <v>1560</v>
      </c>
      <c r="J93" s="691"/>
      <c r="K93" s="693" t="s">
        <v>1267</v>
      </c>
      <c r="L93" s="693" t="s">
        <v>1157</v>
      </c>
      <c r="M93" s="691" t="s">
        <v>1561</v>
      </c>
      <c r="N93" s="694" t="s">
        <v>1562</v>
      </c>
      <c r="O93" s="695">
        <v>2025</v>
      </c>
      <c r="P93" s="695"/>
      <c r="Q93" s="695"/>
      <c r="R93" s="694" t="s">
        <v>1562</v>
      </c>
      <c r="S93" s="694">
        <v>45835</v>
      </c>
      <c r="T93" s="695"/>
      <c r="U93" s="696"/>
      <c r="V93" t="s">
        <v>1246</v>
      </c>
      <c r="Y93" s="505">
        <v>45851</v>
      </c>
      <c r="AA93" t="s">
        <v>1563</v>
      </c>
      <c r="AB93" t="s">
        <v>1564</v>
      </c>
      <c r="AC93" t="s">
        <v>1565</v>
      </c>
    </row>
    <row r="94" spans="1:29" ht="16.5">
      <c r="A94" s="689">
        <v>4</v>
      </c>
      <c r="B94" s="697">
        <v>25010</v>
      </c>
      <c r="C94" s="691" t="s">
        <v>919</v>
      </c>
      <c r="D94" s="692" t="s">
        <v>1152</v>
      </c>
      <c r="E94" s="693" t="s">
        <v>1238</v>
      </c>
      <c r="F94" s="693" t="s">
        <v>1239</v>
      </c>
      <c r="G94" s="693" t="s">
        <v>126</v>
      </c>
      <c r="H94" s="693" t="s">
        <v>1158</v>
      </c>
      <c r="I94" s="693" t="s">
        <v>1445</v>
      </c>
      <c r="J94" s="693"/>
      <c r="K94" s="693" t="s">
        <v>1298</v>
      </c>
      <c r="L94" s="693" t="s">
        <v>1159</v>
      </c>
      <c r="M94" s="691" t="s">
        <v>1566</v>
      </c>
      <c r="N94" s="694" t="s">
        <v>1567</v>
      </c>
      <c r="O94" s="695">
        <v>2025</v>
      </c>
      <c r="P94" s="695"/>
      <c r="Q94" s="695"/>
      <c r="R94" s="694" t="s">
        <v>1567</v>
      </c>
      <c r="S94" s="694">
        <v>45845</v>
      </c>
      <c r="T94" s="695"/>
      <c r="U94" s="698">
        <v>45845</v>
      </c>
      <c r="V94" t="s">
        <v>1318</v>
      </c>
      <c r="Y94" s="505">
        <v>45855</v>
      </c>
      <c r="AA94" t="s">
        <v>1563</v>
      </c>
      <c r="AB94" t="s">
        <v>1564</v>
      </c>
      <c r="AC94" t="s">
        <v>1565</v>
      </c>
    </row>
    <row r="95" spans="1:29" ht="16.5">
      <c r="A95" s="689">
        <v>5</v>
      </c>
      <c r="B95" s="697">
        <v>22005</v>
      </c>
      <c r="C95" s="691" t="s">
        <v>1568</v>
      </c>
      <c r="D95" s="692" t="s">
        <v>1152</v>
      </c>
      <c r="E95" s="693" t="s">
        <v>1238</v>
      </c>
      <c r="F95" s="693" t="s">
        <v>1239</v>
      </c>
      <c r="G95" s="693" t="s">
        <v>673</v>
      </c>
      <c r="H95" s="691" t="s">
        <v>1160</v>
      </c>
      <c r="I95" s="693" t="s">
        <v>1514</v>
      </c>
      <c r="J95" s="693"/>
      <c r="K95" s="693" t="s">
        <v>1298</v>
      </c>
      <c r="L95" s="693" t="s">
        <v>1161</v>
      </c>
      <c r="M95" s="691"/>
      <c r="N95" s="694" t="s">
        <v>1569</v>
      </c>
      <c r="O95" s="695">
        <v>2022</v>
      </c>
      <c r="P95" s="695"/>
      <c r="Q95" s="695"/>
      <c r="R95" s="694" t="s">
        <v>1569</v>
      </c>
      <c r="S95" s="694">
        <v>44879</v>
      </c>
      <c r="T95" s="694">
        <v>44880</v>
      </c>
      <c r="U95" s="696"/>
      <c r="V95" t="s">
        <v>1318</v>
      </c>
      <c r="Y95" s="505">
        <v>45853</v>
      </c>
      <c r="Z95" t="s">
        <v>1570</v>
      </c>
      <c r="AA95" t="s">
        <v>1563</v>
      </c>
      <c r="AB95" t="s">
        <v>1564</v>
      </c>
      <c r="AC95" t="s">
        <v>1565</v>
      </c>
    </row>
    <row r="96" spans="1:29" ht="16.5">
      <c r="A96" s="689">
        <v>6</v>
      </c>
      <c r="B96" s="640">
        <v>25016</v>
      </c>
      <c r="C96" s="641" t="s">
        <v>1571</v>
      </c>
      <c r="D96" s="699" t="s">
        <v>1152</v>
      </c>
      <c r="E96" s="642" t="s">
        <v>1238</v>
      </c>
      <c r="F96" s="642" t="s">
        <v>1239</v>
      </c>
      <c r="G96" s="642" t="s">
        <v>160</v>
      </c>
      <c r="H96" s="642" t="s">
        <v>1162</v>
      </c>
      <c r="I96" s="642" t="s">
        <v>1486</v>
      </c>
      <c r="J96" s="642"/>
      <c r="K96" s="642" t="s">
        <v>1298</v>
      </c>
      <c r="L96" s="643" t="s">
        <v>1163</v>
      </c>
      <c r="M96" s="641"/>
      <c r="N96" s="644" t="s">
        <v>1485</v>
      </c>
      <c r="O96" s="645">
        <v>2025</v>
      </c>
      <c r="P96" s="645"/>
      <c r="Q96" s="645"/>
      <c r="R96" s="644" t="s">
        <v>1485</v>
      </c>
      <c r="S96" s="644">
        <v>45891</v>
      </c>
      <c r="T96" s="645"/>
      <c r="U96" s="663">
        <v>45891</v>
      </c>
      <c r="V96" t="s">
        <v>1246</v>
      </c>
      <c r="Y96" s="505">
        <v>45885</v>
      </c>
      <c r="Z96" t="s">
        <v>1570</v>
      </c>
      <c r="AA96" t="s">
        <v>1563</v>
      </c>
      <c r="AB96" t="s">
        <v>1572</v>
      </c>
      <c r="AC96" t="s">
        <v>1565</v>
      </c>
    </row>
    <row r="97" spans="1:29" ht="16.5">
      <c r="A97" s="689">
        <v>7</v>
      </c>
      <c r="B97" s="640">
        <v>25019</v>
      </c>
      <c r="C97" s="641" t="s">
        <v>1573</v>
      </c>
      <c r="D97" s="699" t="s">
        <v>1152</v>
      </c>
      <c r="E97" s="642" t="s">
        <v>1238</v>
      </c>
      <c r="F97" s="642" t="s">
        <v>1239</v>
      </c>
      <c r="G97" s="642" t="s">
        <v>136</v>
      </c>
      <c r="H97" s="642" t="s">
        <v>1164</v>
      </c>
      <c r="I97" s="642" t="s">
        <v>1574</v>
      </c>
      <c r="J97" s="642"/>
      <c r="K97" s="642" t="s">
        <v>1298</v>
      </c>
      <c r="L97" s="700" t="s">
        <v>1165</v>
      </c>
      <c r="M97" s="701" t="s">
        <v>1575</v>
      </c>
      <c r="N97" s="670" t="s">
        <v>1576</v>
      </c>
      <c r="O97" s="645">
        <v>2025</v>
      </c>
      <c r="P97" s="646"/>
      <c r="Q97" s="645"/>
      <c r="R97" s="644" t="s">
        <v>1576</v>
      </c>
      <c r="S97" s="644">
        <v>45900</v>
      </c>
      <c r="T97" s="644"/>
      <c r="U97" s="663">
        <v>45900</v>
      </c>
      <c r="V97" t="s">
        <v>1246</v>
      </c>
      <c r="Y97" s="505">
        <v>45885</v>
      </c>
      <c r="Z97" t="s">
        <v>1570</v>
      </c>
      <c r="AA97" t="s">
        <v>1563</v>
      </c>
      <c r="AB97" t="s">
        <v>1577</v>
      </c>
      <c r="AC97" t="s">
        <v>1565</v>
      </c>
    </row>
    <row r="98" spans="1:29" ht="17.25">
      <c r="A98" s="689">
        <v>8</v>
      </c>
      <c r="B98" s="640">
        <v>24002</v>
      </c>
      <c r="C98" s="641" t="s">
        <v>719</v>
      </c>
      <c r="D98" s="699" t="s">
        <v>1152</v>
      </c>
      <c r="E98" s="642" t="s">
        <v>1238</v>
      </c>
      <c r="F98" s="642" t="s">
        <v>1239</v>
      </c>
      <c r="G98" s="642" t="s">
        <v>136</v>
      </c>
      <c r="H98" s="642" t="s">
        <v>1166</v>
      </c>
      <c r="I98" s="642" t="s">
        <v>1574</v>
      </c>
      <c r="J98" s="642"/>
      <c r="K98" s="642" t="s">
        <v>1298</v>
      </c>
      <c r="L98" s="390" t="s">
        <v>1167</v>
      </c>
      <c r="M98" s="641"/>
      <c r="N98" s="644" t="s">
        <v>1369</v>
      </c>
      <c r="O98" s="645">
        <v>2024</v>
      </c>
      <c r="P98" s="646"/>
      <c r="Q98" s="645"/>
      <c r="R98" s="644" t="s">
        <v>1369</v>
      </c>
      <c r="S98" s="644">
        <v>45456</v>
      </c>
      <c r="T98" s="644">
        <v>45457</v>
      </c>
      <c r="U98" s="647"/>
      <c r="V98" t="s">
        <v>1246</v>
      </c>
      <c r="W98">
        <v>45901</v>
      </c>
      <c r="Y98" s="505" t="s">
        <v>1578</v>
      </c>
      <c r="Z98" t="s">
        <v>1570</v>
      </c>
      <c r="AA98" t="s">
        <v>1563</v>
      </c>
      <c r="AB98" t="s">
        <v>1579</v>
      </c>
      <c r="AC98" t="s">
        <v>1565</v>
      </c>
    </row>
    <row r="99" spans="1:29" ht="16.5">
      <c r="A99" s="689">
        <v>9</v>
      </c>
      <c r="B99" s="640">
        <v>25006</v>
      </c>
      <c r="C99" s="641" t="s">
        <v>1580</v>
      </c>
      <c r="D99" s="699" t="s">
        <v>1152</v>
      </c>
      <c r="E99" s="641" t="s">
        <v>1238</v>
      </c>
      <c r="F99" s="641" t="s">
        <v>1521</v>
      </c>
      <c r="G99" s="641" t="s">
        <v>683</v>
      </c>
      <c r="H99" s="641" t="s">
        <v>1168</v>
      </c>
      <c r="I99" s="641" t="s">
        <v>1535</v>
      </c>
      <c r="J99" s="641"/>
      <c r="K99" s="642" t="s">
        <v>1298</v>
      </c>
      <c r="L99" s="642" t="s">
        <v>1169</v>
      </c>
      <c r="M99" s="641"/>
      <c r="N99" s="644" t="s">
        <v>1536</v>
      </c>
      <c r="O99" s="645">
        <v>2025</v>
      </c>
      <c r="P99" s="645"/>
      <c r="Q99" s="645"/>
      <c r="R99" s="644"/>
      <c r="S99" s="644"/>
      <c r="T99" s="644">
        <v>45748</v>
      </c>
      <c r="U99" s="647"/>
      <c r="V99" t="s">
        <v>1346</v>
      </c>
      <c r="Y99" s="505">
        <v>45929</v>
      </c>
      <c r="Z99" t="s">
        <v>1570</v>
      </c>
      <c r="AA99" t="s">
        <v>1563</v>
      </c>
      <c r="AB99" t="s">
        <v>1579</v>
      </c>
      <c r="AC99" t="s">
        <v>1565</v>
      </c>
    </row>
    <row r="100" spans="1:29" ht="16.5">
      <c r="A100" s="689">
        <v>10</v>
      </c>
      <c r="B100" s="640">
        <v>25013</v>
      </c>
      <c r="C100" s="641" t="s">
        <v>707</v>
      </c>
      <c r="D100" s="699" t="s">
        <v>1152</v>
      </c>
      <c r="E100" s="641" t="s">
        <v>1238</v>
      </c>
      <c r="F100" s="641" t="s">
        <v>1239</v>
      </c>
      <c r="G100" s="642" t="s">
        <v>110</v>
      </c>
      <c r="H100" s="641" t="s">
        <v>1170</v>
      </c>
      <c r="I100" s="641" t="s">
        <v>1462</v>
      </c>
      <c r="J100" s="641"/>
      <c r="K100" s="641" t="s">
        <v>1267</v>
      </c>
      <c r="L100" s="641" t="s">
        <v>1171</v>
      </c>
      <c r="M100" s="641"/>
      <c r="N100" s="644" t="s">
        <v>1581</v>
      </c>
      <c r="O100" s="645">
        <v>2025</v>
      </c>
      <c r="P100" s="645"/>
      <c r="Q100" s="645"/>
      <c r="R100" s="644" t="s">
        <v>1581</v>
      </c>
      <c r="S100" s="644">
        <v>45894</v>
      </c>
      <c r="T100" s="644">
        <v>45895</v>
      </c>
      <c r="U100" s="663"/>
      <c r="V100" t="s">
        <v>1346</v>
      </c>
      <c r="Y100" s="505">
        <v>45929</v>
      </c>
      <c r="Z100" t="s">
        <v>1570</v>
      </c>
      <c r="AA100" t="s">
        <v>1563</v>
      </c>
      <c r="AB100" t="s">
        <v>1564</v>
      </c>
      <c r="AC100" t="s">
        <v>1565</v>
      </c>
    </row>
    <row r="101" spans="1:29" ht="17.25">
      <c r="A101" s="689">
        <v>11</v>
      </c>
      <c r="B101" s="640">
        <v>25023</v>
      </c>
      <c r="C101" s="641" t="s">
        <v>1582</v>
      </c>
      <c r="D101" s="699" t="s">
        <v>1152</v>
      </c>
      <c r="E101" s="641" t="s">
        <v>1238</v>
      </c>
      <c r="F101" s="641" t="s">
        <v>1239</v>
      </c>
      <c r="G101" s="641" t="s">
        <v>675</v>
      </c>
      <c r="H101" s="641" t="s">
        <v>1172</v>
      </c>
      <c r="I101" s="641" t="s">
        <v>1583</v>
      </c>
      <c r="J101" s="641"/>
      <c r="K101" s="641" t="s">
        <v>1348</v>
      </c>
      <c r="L101" s="402" t="s">
        <v>1173</v>
      </c>
      <c r="M101" s="702"/>
      <c r="N101" s="670" t="s">
        <v>1584</v>
      </c>
      <c r="O101" s="645">
        <v>2025</v>
      </c>
      <c r="P101" s="644" t="s">
        <v>1584</v>
      </c>
      <c r="Q101" s="644">
        <v>45916</v>
      </c>
      <c r="R101" s="644"/>
      <c r="S101" s="644"/>
      <c r="T101" s="644"/>
      <c r="U101" s="663">
        <v>45916</v>
      </c>
      <c r="V101" t="s">
        <v>1318</v>
      </c>
      <c r="Y101" s="505">
        <v>45953</v>
      </c>
      <c r="Z101" t="s">
        <v>1570</v>
      </c>
      <c r="AA101" t="s">
        <v>1563</v>
      </c>
      <c r="AB101" t="s">
        <v>1564</v>
      </c>
      <c r="AC101" t="s">
        <v>1565</v>
      </c>
    </row>
    <row r="102" spans="1:29" ht="17.25">
      <c r="A102" s="689">
        <v>12</v>
      </c>
      <c r="B102" s="640">
        <v>25024</v>
      </c>
      <c r="C102" s="641" t="s">
        <v>1585</v>
      </c>
      <c r="D102" s="699" t="s">
        <v>1152</v>
      </c>
      <c r="E102" s="641" t="s">
        <v>1238</v>
      </c>
      <c r="F102" s="641" t="s">
        <v>1239</v>
      </c>
      <c r="G102" s="641" t="s">
        <v>675</v>
      </c>
      <c r="H102" s="641" t="s">
        <v>1172</v>
      </c>
      <c r="I102" s="641" t="s">
        <v>1583</v>
      </c>
      <c r="J102" s="641"/>
      <c r="K102" s="641" t="s">
        <v>1348</v>
      </c>
      <c r="L102" s="390" t="s">
        <v>1174</v>
      </c>
      <c r="M102" s="702"/>
      <c r="N102" s="670" t="s">
        <v>1586</v>
      </c>
      <c r="O102" s="645">
        <v>2025</v>
      </c>
      <c r="P102" s="644">
        <v>45861</v>
      </c>
      <c r="Q102" s="644">
        <v>45922</v>
      </c>
      <c r="R102" s="644"/>
      <c r="S102" s="644"/>
      <c r="T102" s="644"/>
      <c r="U102" s="663">
        <v>45922</v>
      </c>
      <c r="V102" t="s">
        <v>1318</v>
      </c>
      <c r="Y102" s="505">
        <v>45954</v>
      </c>
      <c r="Z102" t="s">
        <v>1570</v>
      </c>
      <c r="AA102" t="s">
        <v>1563</v>
      </c>
      <c r="AB102" t="s">
        <v>1564</v>
      </c>
      <c r="AC102" t="s">
        <v>1565</v>
      </c>
    </row>
    <row r="103" spans="1:29" ht="17.25">
      <c r="A103" s="689">
        <v>13</v>
      </c>
      <c r="B103" s="703">
        <v>25031</v>
      </c>
      <c r="C103" s="662" t="s">
        <v>1587</v>
      </c>
      <c r="D103" s="699" t="s">
        <v>1152</v>
      </c>
      <c r="E103" s="641" t="s">
        <v>1238</v>
      </c>
      <c r="F103" s="641" t="s">
        <v>1239</v>
      </c>
      <c r="G103" s="642" t="s">
        <v>110</v>
      </c>
      <c r="H103" s="641" t="s">
        <v>1170</v>
      </c>
      <c r="I103" s="641" t="s">
        <v>1462</v>
      </c>
      <c r="J103" s="641"/>
      <c r="K103" s="641" t="s">
        <v>1267</v>
      </c>
      <c r="L103" s="704" t="s">
        <v>1175</v>
      </c>
      <c r="M103" s="705"/>
      <c r="N103" s="706" t="s">
        <v>1344</v>
      </c>
      <c r="O103" s="645">
        <v>2025</v>
      </c>
      <c r="P103" s="645"/>
      <c r="Q103" s="707"/>
      <c r="R103" s="708">
        <v>45903</v>
      </c>
      <c r="S103" s="708">
        <v>45963</v>
      </c>
      <c r="T103" s="708"/>
      <c r="U103" s="663">
        <v>45963</v>
      </c>
      <c r="V103" t="s">
        <v>1346</v>
      </c>
      <c r="Y103" s="505">
        <v>45967</v>
      </c>
      <c r="Z103" t="s">
        <v>1570</v>
      </c>
      <c r="AA103" t="s">
        <v>1563</v>
      </c>
      <c r="AB103" t="s">
        <v>1588</v>
      </c>
      <c r="AC103" t="s">
        <v>1565</v>
      </c>
    </row>
    <row r="104" spans="1:29" ht="16.5">
      <c r="A104" s="689">
        <v>14</v>
      </c>
      <c r="B104" s="640">
        <v>25029</v>
      </c>
      <c r="C104" s="662" t="s">
        <v>119</v>
      </c>
      <c r="D104" s="699" t="s">
        <v>1152</v>
      </c>
      <c r="E104" s="641" t="s">
        <v>1238</v>
      </c>
      <c r="F104" s="641" t="s">
        <v>1239</v>
      </c>
      <c r="G104" s="641" t="s">
        <v>118</v>
      </c>
      <c r="H104" s="642" t="s">
        <v>1176</v>
      </c>
      <c r="I104" s="642" t="s">
        <v>1589</v>
      </c>
      <c r="J104" s="642"/>
      <c r="K104" s="642" t="s">
        <v>1298</v>
      </c>
      <c r="L104" s="642" t="s">
        <v>1177</v>
      </c>
      <c r="M104" s="641"/>
      <c r="N104" s="670" t="s">
        <v>1590</v>
      </c>
      <c r="O104" s="645">
        <v>2025</v>
      </c>
      <c r="P104" s="645"/>
      <c r="Q104" s="645"/>
      <c r="R104" s="644" t="s">
        <v>1590</v>
      </c>
      <c r="S104" s="644">
        <v>45947</v>
      </c>
      <c r="T104" s="644"/>
      <c r="U104" s="663">
        <v>45947</v>
      </c>
      <c r="V104" t="s">
        <v>1318</v>
      </c>
      <c r="Y104" s="505">
        <v>45981</v>
      </c>
      <c r="Z104" t="s">
        <v>1570</v>
      </c>
      <c r="AA104" t="s">
        <v>1563</v>
      </c>
      <c r="AB104" t="s">
        <v>1588</v>
      </c>
      <c r="AC104" t="s">
        <v>1565</v>
      </c>
    </row>
    <row r="105" spans="1:29" ht="17.25">
      <c r="A105" s="689">
        <v>15</v>
      </c>
      <c r="B105" s="661">
        <v>25036</v>
      </c>
      <c r="C105" s="662" t="s">
        <v>205</v>
      </c>
      <c r="D105" s="699" t="s">
        <v>1152</v>
      </c>
      <c r="E105" s="642" t="s">
        <v>1238</v>
      </c>
      <c r="F105" s="642" t="s">
        <v>1239</v>
      </c>
      <c r="G105" s="642" t="s">
        <v>160</v>
      </c>
      <c r="H105" s="642" t="s">
        <v>1178</v>
      </c>
      <c r="I105" s="642" t="s">
        <v>1591</v>
      </c>
      <c r="J105" s="642"/>
      <c r="K105" s="641" t="s">
        <v>1348</v>
      </c>
      <c r="L105" s="390" t="s">
        <v>1179</v>
      </c>
      <c r="M105" s="641"/>
      <c r="N105" s="670" t="s">
        <v>1592</v>
      </c>
      <c r="O105" s="645">
        <v>2025</v>
      </c>
      <c r="P105" s="644">
        <v>45960</v>
      </c>
      <c r="Q105" s="644">
        <v>46051</v>
      </c>
      <c r="R105" s="644"/>
      <c r="S105" s="644"/>
      <c r="T105" s="644"/>
      <c r="U105" s="647"/>
      <c r="V105" t="s">
        <v>1246</v>
      </c>
      <c r="W105">
        <v>45901</v>
      </c>
      <c r="Y105" s="505">
        <v>45994</v>
      </c>
      <c r="Z105" t="s">
        <v>1570</v>
      </c>
      <c r="AA105" t="s">
        <v>1563</v>
      </c>
      <c r="AB105" t="s">
        <v>1564</v>
      </c>
      <c r="AC105" t="s">
        <v>1565</v>
      </c>
    </row>
    <row r="106" spans="1:29" ht="17.25">
      <c r="A106" s="689">
        <v>16</v>
      </c>
      <c r="B106" s="678">
        <v>25035</v>
      </c>
      <c r="C106" s="679" t="s">
        <v>1593</v>
      </c>
      <c r="D106" s="699" t="s">
        <v>1152</v>
      </c>
      <c r="E106" s="641" t="s">
        <v>1238</v>
      </c>
      <c r="F106" s="641" t="s">
        <v>1239</v>
      </c>
      <c r="G106" s="642" t="s">
        <v>110</v>
      </c>
      <c r="H106" s="641" t="s">
        <v>1170</v>
      </c>
      <c r="I106" s="641" t="s">
        <v>1462</v>
      </c>
      <c r="J106" s="641"/>
      <c r="K106" s="641" t="s">
        <v>1267</v>
      </c>
      <c r="L106" s="399" t="s">
        <v>1180</v>
      </c>
      <c r="M106" s="709"/>
      <c r="N106" s="680" t="s">
        <v>1594</v>
      </c>
      <c r="O106" s="681">
        <v>2025</v>
      </c>
      <c r="P106" s="681"/>
      <c r="Q106" s="707"/>
      <c r="R106" s="682">
        <v>45957</v>
      </c>
      <c r="S106" s="682">
        <v>46017</v>
      </c>
      <c r="T106" s="682"/>
      <c r="U106" s="683"/>
      <c r="V106" t="s">
        <v>1246</v>
      </c>
      <c r="Y106" s="505">
        <v>46042</v>
      </c>
      <c r="Z106" t="s">
        <v>1570</v>
      </c>
      <c r="AA106" t="s">
        <v>1563</v>
      </c>
      <c r="AB106" t="s">
        <v>1564</v>
      </c>
      <c r="AC106" t="s">
        <v>1565</v>
      </c>
    </row>
    <row r="107" spans="1:29" ht="16.5">
      <c r="A107" s="689">
        <v>17</v>
      </c>
      <c r="B107" s="640">
        <v>25014</v>
      </c>
      <c r="C107" s="641" t="s">
        <v>1595</v>
      </c>
      <c r="D107" s="699" t="s">
        <v>1152</v>
      </c>
      <c r="E107" s="642" t="s">
        <v>1238</v>
      </c>
      <c r="F107" s="642" t="s">
        <v>1239</v>
      </c>
      <c r="G107" s="642" t="s">
        <v>673</v>
      </c>
      <c r="H107" s="641" t="s">
        <v>1181</v>
      </c>
      <c r="I107" s="642" t="s">
        <v>1366</v>
      </c>
      <c r="J107" s="642"/>
      <c r="K107" s="642" t="s">
        <v>1298</v>
      </c>
      <c r="L107" s="643" t="s">
        <v>1182</v>
      </c>
      <c r="M107" s="641"/>
      <c r="N107" s="710" t="s">
        <v>1596</v>
      </c>
      <c r="O107" s="645">
        <v>2025</v>
      </c>
      <c r="P107" s="645"/>
      <c r="Q107" s="645"/>
      <c r="R107" s="644" t="s">
        <v>1596</v>
      </c>
      <c r="S107" s="644">
        <v>45900</v>
      </c>
      <c r="T107" s="644">
        <v>45901</v>
      </c>
      <c r="U107" s="663"/>
      <c r="V107" t="s">
        <v>1346</v>
      </c>
      <c r="Y107" s="505">
        <v>46056</v>
      </c>
      <c r="Z107" t="s">
        <v>1570</v>
      </c>
      <c r="AA107" t="s">
        <v>1563</v>
      </c>
      <c r="AB107" t="s">
        <v>1564</v>
      </c>
      <c r="AC107" t="s">
        <v>1565</v>
      </c>
    </row>
    <row r="108" spans="1:29" ht="16.5">
      <c r="A108" s="689">
        <v>18</v>
      </c>
      <c r="B108" s="661">
        <v>15001</v>
      </c>
      <c r="C108" s="662" t="s">
        <v>721</v>
      </c>
      <c r="D108" s="699" t="s">
        <v>1152</v>
      </c>
      <c r="E108" s="642" t="s">
        <v>1238</v>
      </c>
      <c r="F108" s="642" t="s">
        <v>1239</v>
      </c>
      <c r="G108" s="642" t="s">
        <v>136</v>
      </c>
      <c r="H108" s="642" t="s">
        <v>1183</v>
      </c>
      <c r="I108" s="642" t="s">
        <v>1597</v>
      </c>
      <c r="J108" s="642"/>
      <c r="K108" s="642" t="s">
        <v>1278</v>
      </c>
      <c r="L108" s="642" t="s">
        <v>1184</v>
      </c>
      <c r="M108" s="641"/>
      <c r="N108" s="644" t="s">
        <v>1598</v>
      </c>
      <c r="O108" s="645">
        <v>2015</v>
      </c>
      <c r="P108" s="645"/>
      <c r="Q108" s="645"/>
      <c r="R108" s="644" t="s">
        <v>1598</v>
      </c>
      <c r="S108" s="644">
        <v>42427</v>
      </c>
      <c r="T108" s="644">
        <v>42428</v>
      </c>
      <c r="U108" s="647"/>
      <c r="V108" t="s">
        <v>1318</v>
      </c>
      <c r="Y108" s="505">
        <v>46058</v>
      </c>
      <c r="Z108" t="s">
        <v>1570</v>
      </c>
      <c r="AA108" t="s">
        <v>1563</v>
      </c>
      <c r="AB108" t="s">
        <v>1577</v>
      </c>
      <c r="AC108" t="s">
        <v>1565</v>
      </c>
    </row>
    <row r="109" spans="1:29" ht="17.25">
      <c r="A109" s="689">
        <v>19</v>
      </c>
      <c r="B109" s="640">
        <v>25040</v>
      </c>
      <c r="C109" s="641" t="s">
        <v>1599</v>
      </c>
      <c r="D109" s="699" t="s">
        <v>1152</v>
      </c>
      <c r="E109" s="642" t="s">
        <v>1238</v>
      </c>
      <c r="F109" s="642" t="s">
        <v>1239</v>
      </c>
      <c r="G109" s="642" t="s">
        <v>667</v>
      </c>
      <c r="H109" s="641" t="s">
        <v>1600</v>
      </c>
      <c r="I109" s="642" t="s">
        <v>1601</v>
      </c>
      <c r="J109" s="642"/>
      <c r="K109" s="641" t="s">
        <v>1348</v>
      </c>
      <c r="L109" s="390" t="s">
        <v>1602</v>
      </c>
      <c r="M109" s="641"/>
      <c r="N109" s="680" t="s">
        <v>1603</v>
      </c>
      <c r="O109" s="711">
        <v>2025</v>
      </c>
      <c r="P109" s="712">
        <v>45981</v>
      </c>
      <c r="Q109" s="711"/>
      <c r="R109" s="712"/>
      <c r="S109" s="712"/>
      <c r="T109" s="712"/>
      <c r="U109" s="713"/>
      <c r="V109" t="s">
        <v>1246</v>
      </c>
      <c r="Y109" s="505">
        <v>46063</v>
      </c>
      <c r="Z109" t="s">
        <v>1570</v>
      </c>
      <c r="AA109" t="s">
        <v>1563</v>
      </c>
      <c r="AB109" t="s">
        <v>1572</v>
      </c>
      <c r="AC109" t="s">
        <v>1565</v>
      </c>
    </row>
    <row r="110" spans="1:29" ht="17.25">
      <c r="A110" s="689">
        <v>20</v>
      </c>
      <c r="B110" s="661">
        <v>26002</v>
      </c>
      <c r="C110" s="662" t="s">
        <v>1604</v>
      </c>
      <c r="D110" s="699" t="s">
        <v>1152</v>
      </c>
      <c r="E110" s="642" t="s">
        <v>1238</v>
      </c>
      <c r="F110" s="642" t="s">
        <v>1239</v>
      </c>
      <c r="G110" s="665" t="s">
        <v>1507</v>
      </c>
      <c r="H110" s="642" t="s">
        <v>1186</v>
      </c>
      <c r="I110" s="642" t="s">
        <v>1605</v>
      </c>
      <c r="J110" s="642"/>
      <c r="K110" s="642" t="s">
        <v>1278</v>
      </c>
      <c r="L110" s="390" t="s">
        <v>1187</v>
      </c>
      <c r="M110" s="641"/>
      <c r="N110" s="670" t="s">
        <v>1606</v>
      </c>
      <c r="O110" s="645">
        <v>2026</v>
      </c>
      <c r="P110" s="645"/>
      <c r="Q110" s="645"/>
      <c r="R110" s="644" t="s">
        <v>1606</v>
      </c>
      <c r="S110" s="644">
        <v>46101</v>
      </c>
      <c r="T110" s="644"/>
      <c r="U110" s="663">
        <v>46101</v>
      </c>
      <c r="V110" t="s">
        <v>1346</v>
      </c>
      <c r="Y110" s="505">
        <v>46064</v>
      </c>
      <c r="Z110" t="s">
        <v>1607</v>
      </c>
      <c r="AA110" t="s">
        <v>1563</v>
      </c>
      <c r="AB110" t="s">
        <v>1577</v>
      </c>
      <c r="AC110" t="s">
        <v>1565</v>
      </c>
    </row>
    <row r="111" spans="1:29" ht="16.5">
      <c r="A111" s="689">
        <v>21</v>
      </c>
      <c r="B111" s="640">
        <v>23003</v>
      </c>
      <c r="C111" s="641" t="s">
        <v>1608</v>
      </c>
      <c r="D111" s="699" t="s">
        <v>1152</v>
      </c>
      <c r="E111" s="642" t="s">
        <v>1238</v>
      </c>
      <c r="F111" s="642" t="s">
        <v>1239</v>
      </c>
      <c r="G111" s="642" t="s">
        <v>673</v>
      </c>
      <c r="H111" s="641" t="s">
        <v>1160</v>
      </c>
      <c r="I111" s="642" t="s">
        <v>1508</v>
      </c>
      <c r="J111" s="642"/>
      <c r="K111" s="642" t="s">
        <v>1298</v>
      </c>
      <c r="L111" s="714" t="s">
        <v>1192</v>
      </c>
      <c r="M111" s="641"/>
      <c r="N111" s="644" t="s">
        <v>949</v>
      </c>
      <c r="O111" s="645">
        <v>2023</v>
      </c>
      <c r="P111" s="645"/>
      <c r="Q111" s="645"/>
      <c r="R111" s="644" t="s">
        <v>949</v>
      </c>
      <c r="S111" s="644">
        <v>45111</v>
      </c>
      <c r="T111" s="644">
        <v>45112</v>
      </c>
      <c r="U111" s="647"/>
      <c r="V111" t="s">
        <v>1346</v>
      </c>
      <c r="Y111" s="505">
        <v>46064</v>
      </c>
      <c r="Z111" t="s">
        <v>1570</v>
      </c>
      <c r="AA111" t="s">
        <v>1563</v>
      </c>
      <c r="AB111" t="s">
        <v>1588</v>
      </c>
      <c r="AC111" t="s">
        <v>1565</v>
      </c>
    </row>
    <row r="112" spans="1:29" ht="17.25">
      <c r="A112" s="689">
        <v>22</v>
      </c>
      <c r="B112" s="661">
        <v>25037</v>
      </c>
      <c r="C112" s="662" t="s">
        <v>159</v>
      </c>
      <c r="D112" s="699" t="s">
        <v>1152</v>
      </c>
      <c r="E112" s="642" t="s">
        <v>1238</v>
      </c>
      <c r="F112" s="642" t="s">
        <v>1239</v>
      </c>
      <c r="G112" s="642" t="s">
        <v>160</v>
      </c>
      <c r="H112" s="642" t="s">
        <v>1178</v>
      </c>
      <c r="I112" s="642" t="s">
        <v>1591</v>
      </c>
      <c r="J112" s="642"/>
      <c r="K112" s="641" t="s">
        <v>1348</v>
      </c>
      <c r="L112" s="390" t="s">
        <v>1191</v>
      </c>
      <c r="M112" s="641"/>
      <c r="N112" s="670" t="s">
        <v>1609</v>
      </c>
      <c r="O112" s="645">
        <v>2025</v>
      </c>
      <c r="P112" s="644">
        <v>45971</v>
      </c>
      <c r="Q112" s="644">
        <v>46062</v>
      </c>
      <c r="R112" s="644"/>
      <c r="S112" s="644"/>
      <c r="T112" s="644"/>
      <c r="U112" s="663">
        <v>46062</v>
      </c>
      <c r="V112" t="s">
        <v>1246</v>
      </c>
      <c r="Y112" s="505">
        <v>46080</v>
      </c>
      <c r="Z112" t="s">
        <v>1570</v>
      </c>
      <c r="AA112" t="s">
        <v>1563</v>
      </c>
      <c r="AB112" t="s">
        <v>1572</v>
      </c>
      <c r="AC112" t="s">
        <v>1565</v>
      </c>
    </row>
    <row r="113" spans="1:29" ht="16.5">
      <c r="A113" s="689">
        <v>23</v>
      </c>
      <c r="B113" s="661">
        <v>25027</v>
      </c>
      <c r="C113" s="662" t="s">
        <v>1610</v>
      </c>
      <c r="D113" s="699" t="s">
        <v>1152</v>
      </c>
      <c r="E113" s="642" t="s">
        <v>1238</v>
      </c>
      <c r="F113" s="642" t="s">
        <v>1239</v>
      </c>
      <c r="G113" s="714" t="s">
        <v>136</v>
      </c>
      <c r="H113" s="714" t="s">
        <v>1189</v>
      </c>
      <c r="I113" s="714" t="s">
        <v>1347</v>
      </c>
      <c r="J113" s="714"/>
      <c r="K113" s="641" t="s">
        <v>1348</v>
      </c>
      <c r="L113" s="714" t="s">
        <v>1190</v>
      </c>
      <c r="M113" s="715" t="s">
        <v>1611</v>
      </c>
      <c r="N113" s="716" t="s">
        <v>1444</v>
      </c>
      <c r="O113" s="645">
        <v>2025</v>
      </c>
      <c r="P113" s="644">
        <v>45868</v>
      </c>
      <c r="Q113" s="644">
        <v>45959</v>
      </c>
      <c r="R113" s="644"/>
      <c r="S113" s="644"/>
      <c r="T113" s="645"/>
      <c r="U113" s="663">
        <v>45959</v>
      </c>
      <c r="V113" t="s">
        <v>1346</v>
      </c>
      <c r="Y113" s="505">
        <v>46091</v>
      </c>
      <c r="Z113" t="s">
        <v>1612</v>
      </c>
      <c r="AA113" t="s">
        <v>1563</v>
      </c>
      <c r="AB113" t="s">
        <v>1577</v>
      </c>
      <c r="AC113" t="s">
        <v>1565</v>
      </c>
    </row>
    <row r="114" spans="1:29" ht="16.5">
      <c r="A114" s="689">
        <v>24</v>
      </c>
      <c r="B114" s="640">
        <v>23004</v>
      </c>
      <c r="C114" s="641" t="s">
        <v>725</v>
      </c>
      <c r="D114" s="699" t="s">
        <v>1152</v>
      </c>
      <c r="E114" s="642" t="s">
        <v>1238</v>
      </c>
      <c r="F114" s="642" t="s">
        <v>1239</v>
      </c>
      <c r="G114" s="642" t="s">
        <v>118</v>
      </c>
      <c r="H114" s="642" t="s">
        <v>1176</v>
      </c>
      <c r="I114" s="642" t="s">
        <v>1589</v>
      </c>
      <c r="J114" s="642"/>
      <c r="K114" s="642" t="s">
        <v>1298</v>
      </c>
      <c r="L114" s="642" t="s">
        <v>1188</v>
      </c>
      <c r="M114" s="641" t="s">
        <v>1613</v>
      </c>
      <c r="N114" s="644" t="s">
        <v>1614</v>
      </c>
      <c r="O114" s="645">
        <v>2023</v>
      </c>
      <c r="P114" s="645"/>
      <c r="Q114" s="645"/>
      <c r="R114" s="644" t="s">
        <v>1614</v>
      </c>
      <c r="S114" s="644">
        <v>45115</v>
      </c>
      <c r="T114" s="644">
        <v>45116</v>
      </c>
      <c r="U114" s="647"/>
      <c r="V114" t="s">
        <v>1346</v>
      </c>
      <c r="Y114" s="505">
        <v>46107</v>
      </c>
      <c r="Z114" t="s">
        <v>1570</v>
      </c>
      <c r="AA114" t="s">
        <v>1563</v>
      </c>
      <c r="AB114" t="s">
        <v>1588</v>
      </c>
      <c r="AC114" t="s">
        <v>1565</v>
      </c>
    </row>
    <row r="115" spans="1:29" ht="16.5">
      <c r="A115" s="689">
        <v>25</v>
      </c>
      <c r="B115" s="661" t="s">
        <v>1615</v>
      </c>
      <c r="C115" s="662" t="s">
        <v>1193</v>
      </c>
      <c r="D115" s="699" t="s">
        <v>1152</v>
      </c>
      <c r="E115" s="641" t="s">
        <v>1238</v>
      </c>
      <c r="F115" s="641" t="s">
        <v>1239</v>
      </c>
      <c r="G115" s="665" t="s">
        <v>1507</v>
      </c>
      <c r="H115" s="641"/>
      <c r="I115" s="641" t="s">
        <v>1583</v>
      </c>
      <c r="J115" s="641"/>
      <c r="K115" s="641"/>
      <c r="L115" s="643"/>
      <c r="M115" s="702"/>
      <c r="N115" s="670" t="s">
        <v>1616</v>
      </c>
      <c r="O115" s="645">
        <v>2025</v>
      </c>
      <c r="P115" s="644">
        <v>45964</v>
      </c>
      <c r="Q115" s="644"/>
      <c r="R115" s="644"/>
      <c r="S115" s="644"/>
      <c r="T115" s="644"/>
      <c r="U115" s="663"/>
      <c r="V115" t="s">
        <v>1246</v>
      </c>
      <c r="Y115" s="505">
        <v>46112</v>
      </c>
      <c r="Z115" t="s">
        <v>1570</v>
      </c>
      <c r="AA115" t="s">
        <v>1617</v>
      </c>
      <c r="AB115" t="s">
        <v>1572</v>
      </c>
      <c r="AC115" t="s">
        <v>1565</v>
      </c>
    </row>
    <row r="116" spans="1:29" ht="17.25">
      <c r="A116" s="689">
        <v>26</v>
      </c>
      <c r="B116" s="661">
        <v>25044</v>
      </c>
      <c r="C116" s="662" t="s">
        <v>1618</v>
      </c>
      <c r="D116" s="699" t="s">
        <v>1152</v>
      </c>
      <c r="E116" s="642" t="s">
        <v>1238</v>
      </c>
      <c r="F116" s="642" t="s">
        <v>1239</v>
      </c>
      <c r="G116" s="642" t="s">
        <v>126</v>
      </c>
      <c r="H116" s="642" t="s">
        <v>1197</v>
      </c>
      <c r="I116" s="642" t="s">
        <v>1619</v>
      </c>
      <c r="J116" s="642"/>
      <c r="K116" s="641" t="s">
        <v>1348</v>
      </c>
      <c r="L116" s="397" t="s">
        <v>1198</v>
      </c>
      <c r="M116" s="641"/>
      <c r="N116" s="670" t="s">
        <v>1512</v>
      </c>
      <c r="O116" s="645">
        <v>2025</v>
      </c>
      <c r="P116" s="644">
        <v>45999</v>
      </c>
      <c r="Q116" s="645"/>
      <c r="R116" s="644"/>
      <c r="S116" s="644"/>
      <c r="T116" s="644"/>
      <c r="U116" s="663"/>
      <c r="V116" t="s">
        <v>1346</v>
      </c>
      <c r="Y116" s="505">
        <v>46112</v>
      </c>
      <c r="Z116" t="s">
        <v>1620</v>
      </c>
      <c r="AA116" t="s">
        <v>1563</v>
      </c>
      <c r="AB116" t="s">
        <v>1577</v>
      </c>
      <c r="AC116" t="s">
        <v>1565</v>
      </c>
    </row>
    <row r="117" spans="1:29" ht="16.5">
      <c r="A117" s="689">
        <v>27</v>
      </c>
      <c r="B117" s="661">
        <v>24008</v>
      </c>
      <c r="C117" s="662" t="s">
        <v>1621</v>
      </c>
      <c r="D117" s="699" t="s">
        <v>1152</v>
      </c>
      <c r="E117" s="641" t="s">
        <v>1238</v>
      </c>
      <c r="F117" s="641" t="s">
        <v>1239</v>
      </c>
      <c r="G117" s="641" t="s">
        <v>675</v>
      </c>
      <c r="H117" s="642" t="s">
        <v>1201</v>
      </c>
      <c r="I117" s="642" t="s">
        <v>1622</v>
      </c>
      <c r="J117" s="642"/>
      <c r="K117" s="642" t="s">
        <v>1298</v>
      </c>
      <c r="L117" s="643" t="s">
        <v>1202</v>
      </c>
      <c r="M117" s="641"/>
      <c r="N117" s="644" t="s">
        <v>1623</v>
      </c>
      <c r="O117" s="645">
        <v>2024</v>
      </c>
      <c r="P117" s="645"/>
      <c r="Q117" s="645"/>
      <c r="R117" s="644" t="s">
        <v>1623</v>
      </c>
      <c r="S117" s="644">
        <v>45657</v>
      </c>
      <c r="T117" s="644">
        <v>45658</v>
      </c>
      <c r="U117" s="647"/>
      <c r="V117" t="s">
        <v>1246</v>
      </c>
      <c r="Y117" s="505">
        <v>46112</v>
      </c>
      <c r="Z117" t="s">
        <v>1570</v>
      </c>
      <c r="AA117" t="s">
        <v>1563</v>
      </c>
      <c r="AB117" t="s">
        <v>1588</v>
      </c>
      <c r="AC117" t="s">
        <v>1565</v>
      </c>
    </row>
    <row r="118" spans="1:29" ht="16.5">
      <c r="A118" s="689">
        <v>28</v>
      </c>
      <c r="B118" s="661">
        <v>25018</v>
      </c>
      <c r="C118" s="662" t="s">
        <v>1624</v>
      </c>
      <c r="D118" s="699" t="s">
        <v>1152</v>
      </c>
      <c r="E118" s="641" t="s">
        <v>1238</v>
      </c>
      <c r="F118" s="641" t="s">
        <v>1239</v>
      </c>
      <c r="G118" s="641" t="s">
        <v>675</v>
      </c>
      <c r="H118" s="641" t="s">
        <v>1195</v>
      </c>
      <c r="I118" s="641" t="s">
        <v>1583</v>
      </c>
      <c r="J118" s="641"/>
      <c r="K118" s="641" t="s">
        <v>1348</v>
      </c>
      <c r="L118" s="643" t="s">
        <v>1203</v>
      </c>
      <c r="M118" s="702" t="s">
        <v>1625</v>
      </c>
      <c r="N118" s="644" t="s">
        <v>1626</v>
      </c>
      <c r="O118" s="645">
        <v>2025</v>
      </c>
      <c r="P118" s="644">
        <v>45708</v>
      </c>
      <c r="Q118" s="644">
        <v>46022</v>
      </c>
      <c r="R118" s="644"/>
      <c r="S118" s="644"/>
      <c r="T118" s="644"/>
      <c r="U118" s="663">
        <v>46022</v>
      </c>
      <c r="V118" t="s">
        <v>1346</v>
      </c>
      <c r="Y118" s="505">
        <v>46157</v>
      </c>
      <c r="Z118" t="s">
        <v>1570</v>
      </c>
      <c r="AA118" t="s">
        <v>1563</v>
      </c>
      <c r="AB118" t="s">
        <v>1588</v>
      </c>
      <c r="AC118" t="s">
        <v>1565</v>
      </c>
    </row>
    <row r="119" spans="1:29" ht="17.25">
      <c r="A119" s="689">
        <v>29</v>
      </c>
      <c r="B119" s="661">
        <v>25001</v>
      </c>
      <c r="C119" s="662" t="s">
        <v>729</v>
      </c>
      <c r="D119" s="699" t="s">
        <v>1152</v>
      </c>
      <c r="E119" s="642" t="s">
        <v>1238</v>
      </c>
      <c r="F119" s="642" t="s">
        <v>1239</v>
      </c>
      <c r="G119" s="642" t="s">
        <v>160</v>
      </c>
      <c r="H119" s="642" t="s">
        <v>1199</v>
      </c>
      <c r="I119" s="642" t="s">
        <v>1501</v>
      </c>
      <c r="J119" s="642"/>
      <c r="K119" s="642" t="s">
        <v>1267</v>
      </c>
      <c r="L119" s="390" t="s">
        <v>1200</v>
      </c>
      <c r="M119" s="641"/>
      <c r="N119" s="644" t="s">
        <v>1627</v>
      </c>
      <c r="O119" s="645">
        <v>2025</v>
      </c>
      <c r="P119" s="645"/>
      <c r="Q119" s="645"/>
      <c r="R119" s="644" t="s">
        <v>1627</v>
      </c>
      <c r="S119" s="644">
        <v>45764</v>
      </c>
      <c r="T119" s="644">
        <v>45765</v>
      </c>
      <c r="U119" s="647"/>
      <c r="V119" t="s">
        <v>1318</v>
      </c>
      <c r="Y119" s="505">
        <v>46171</v>
      </c>
      <c r="Z119" t="s">
        <v>1628</v>
      </c>
      <c r="AA119" t="s">
        <v>1563</v>
      </c>
      <c r="AB119" t="s">
        <v>1588</v>
      </c>
      <c r="AC119" t="s">
        <v>1565</v>
      </c>
    </row>
    <row r="120" spans="1:29" ht="16.5">
      <c r="A120" s="689">
        <v>30</v>
      </c>
      <c r="B120" s="661">
        <v>26009</v>
      </c>
      <c r="C120" s="662" t="s">
        <v>1629</v>
      </c>
      <c r="D120" s="699" t="s">
        <v>1152</v>
      </c>
      <c r="E120" s="641" t="s">
        <v>1630</v>
      </c>
      <c r="F120" s="641" t="s">
        <v>1239</v>
      </c>
      <c r="G120" s="641" t="s">
        <v>675</v>
      </c>
      <c r="H120" s="636" t="s">
        <v>1204</v>
      </c>
      <c r="I120" s="636" t="s">
        <v>1583</v>
      </c>
      <c r="J120" s="636" t="s">
        <v>1404</v>
      </c>
      <c r="K120" s="641" t="s">
        <v>1348</v>
      </c>
      <c r="L120" s="391" t="s">
        <v>1205</v>
      </c>
      <c r="M120" s="635"/>
      <c r="N120" s="644" t="s">
        <v>1631</v>
      </c>
      <c r="O120" s="645">
        <v>2026</v>
      </c>
      <c r="P120" s="644">
        <v>46111</v>
      </c>
      <c r="Q120" s="644">
        <v>46203</v>
      </c>
      <c r="R120" s="644"/>
      <c r="S120" s="644"/>
      <c r="T120" s="644"/>
      <c r="U120" s="663">
        <v>46203</v>
      </c>
      <c r="V120" t="s">
        <v>1246</v>
      </c>
      <c r="W120">
        <v>45383</v>
      </c>
      <c r="Y120" s="505">
        <v>46162</v>
      </c>
      <c r="Z120" t="s">
        <v>1570</v>
      </c>
      <c r="AA120" t="s">
        <v>1563</v>
      </c>
      <c r="AB120" t="s">
        <v>1577</v>
      </c>
      <c r="AC120" t="s">
        <v>1565</v>
      </c>
    </row>
    <row r="121" spans="1:29" ht="16.5">
      <c r="A121" s="689">
        <v>31</v>
      </c>
      <c r="B121" s="661">
        <v>26008</v>
      </c>
      <c r="C121" s="662" t="s">
        <v>1632</v>
      </c>
      <c r="D121" s="699" t="s">
        <v>1152</v>
      </c>
      <c r="E121" s="641" t="s">
        <v>1238</v>
      </c>
      <c r="F121" s="641" t="s">
        <v>1239</v>
      </c>
      <c r="G121" s="641" t="s">
        <v>675</v>
      </c>
      <c r="H121" s="636" t="s">
        <v>1201</v>
      </c>
      <c r="I121" s="636" t="s">
        <v>1622</v>
      </c>
      <c r="J121" s="636" t="s">
        <v>1633</v>
      </c>
      <c r="K121" s="642" t="s">
        <v>1298</v>
      </c>
      <c r="L121" s="391" t="s">
        <v>1209</v>
      </c>
      <c r="M121" s="392" t="s">
        <v>1634</v>
      </c>
      <c r="N121" s="644" t="s">
        <v>1635</v>
      </c>
      <c r="O121" s="645">
        <v>2026</v>
      </c>
      <c r="P121" s="644"/>
      <c r="Q121" s="644"/>
      <c r="R121" s="644">
        <v>46106</v>
      </c>
      <c r="S121" s="644">
        <v>46166</v>
      </c>
      <c r="T121" s="644"/>
      <c r="U121" s="663">
        <v>46166</v>
      </c>
      <c r="V121" t="s">
        <v>1246</v>
      </c>
      <c r="W121">
        <v>45870</v>
      </c>
      <c r="Y121" s="505">
        <v>46173</v>
      </c>
      <c r="Z121" t="s">
        <v>1636</v>
      </c>
      <c r="AA121" t="s">
        <v>1563</v>
      </c>
      <c r="AB121" t="s">
        <v>1577</v>
      </c>
      <c r="AC121" t="s">
        <v>1565</v>
      </c>
    </row>
    <row r="122" spans="1:29" ht="16.5">
      <c r="A122" s="689">
        <v>32</v>
      </c>
      <c r="B122" s="640">
        <v>23005</v>
      </c>
      <c r="C122" s="641" t="s">
        <v>1637</v>
      </c>
      <c r="D122" s="699" t="s">
        <v>1152</v>
      </c>
      <c r="E122" s="642" t="s">
        <v>1238</v>
      </c>
      <c r="F122" s="642" t="s">
        <v>1239</v>
      </c>
      <c r="G122" s="642" t="s">
        <v>673</v>
      </c>
      <c r="H122" s="636" t="s">
        <v>1181</v>
      </c>
      <c r="I122" s="636" t="s">
        <v>1366</v>
      </c>
      <c r="J122" s="636" t="s">
        <v>1361</v>
      </c>
      <c r="K122" s="642" t="s">
        <v>1298</v>
      </c>
      <c r="L122" s="643" t="s">
        <v>1206</v>
      </c>
      <c r="M122" s="635" t="s">
        <v>1638</v>
      </c>
      <c r="N122" s="644" t="s">
        <v>1639</v>
      </c>
      <c r="O122" s="645">
        <v>2023</v>
      </c>
      <c r="P122" s="645"/>
      <c r="Q122" s="645"/>
      <c r="R122" s="644" t="s">
        <v>1639</v>
      </c>
      <c r="S122" s="644">
        <v>45169</v>
      </c>
      <c r="T122" s="644">
        <v>45170</v>
      </c>
      <c r="U122" s="647"/>
      <c r="V122" t="s">
        <v>1246</v>
      </c>
      <c r="W122">
        <v>45778</v>
      </c>
      <c r="Y122" s="505">
        <v>46174</v>
      </c>
      <c r="Z122" t="s">
        <v>1570</v>
      </c>
      <c r="AA122" t="s">
        <v>1563</v>
      </c>
      <c r="AB122" t="s">
        <v>1588</v>
      </c>
      <c r="AC122" t="s">
        <v>1565</v>
      </c>
    </row>
    <row r="123" spans="1:29" ht="17.25">
      <c r="A123" s="689">
        <v>33</v>
      </c>
      <c r="B123" s="661">
        <v>25009</v>
      </c>
      <c r="C123" s="662" t="s">
        <v>711</v>
      </c>
      <c r="D123" s="699" t="s">
        <v>1152</v>
      </c>
      <c r="E123" s="642" t="s">
        <v>1238</v>
      </c>
      <c r="F123" s="642" t="s">
        <v>1239</v>
      </c>
      <c r="G123" s="642" t="s">
        <v>126</v>
      </c>
      <c r="H123" s="636" t="s">
        <v>1207</v>
      </c>
      <c r="I123" s="636" t="s">
        <v>1640</v>
      </c>
      <c r="J123" s="636" t="s">
        <v>1424</v>
      </c>
      <c r="K123" s="642" t="s">
        <v>1298</v>
      </c>
      <c r="L123" s="390" t="s">
        <v>1208</v>
      </c>
      <c r="M123" s="635" t="s">
        <v>1641</v>
      </c>
      <c r="N123" s="644" t="s">
        <v>1536</v>
      </c>
      <c r="O123" s="645">
        <v>2025</v>
      </c>
      <c r="P123" s="645"/>
      <c r="Q123" s="645"/>
      <c r="R123" s="644" t="s">
        <v>1536</v>
      </c>
      <c r="S123" s="644">
        <v>45869</v>
      </c>
      <c r="T123" s="644">
        <v>45870</v>
      </c>
      <c r="U123" s="663"/>
      <c r="Y123" s="505">
        <v>46184</v>
      </c>
      <c r="Z123" t="s">
        <v>1570</v>
      </c>
      <c r="AA123" t="s">
        <v>1563</v>
      </c>
      <c r="AB123" t="s">
        <v>1577</v>
      </c>
      <c r="AC123" t="s">
        <v>1565</v>
      </c>
    </row>
    <row r="124" spans="1:29" ht="16.5">
      <c r="A124" s="689">
        <v>34</v>
      </c>
      <c r="B124" s="661">
        <v>25002</v>
      </c>
      <c r="C124" s="662" t="s">
        <v>1642</v>
      </c>
      <c r="D124" s="699" t="s">
        <v>1152</v>
      </c>
      <c r="E124" s="641" t="s">
        <v>1238</v>
      </c>
      <c r="F124" s="641" t="s">
        <v>1239</v>
      </c>
      <c r="G124" s="641" t="s">
        <v>675</v>
      </c>
      <c r="H124" s="636" t="s">
        <v>1210</v>
      </c>
      <c r="I124" s="636" t="s">
        <v>1643</v>
      </c>
      <c r="J124" s="636" t="s">
        <v>1277</v>
      </c>
      <c r="K124" s="642" t="s">
        <v>1242</v>
      </c>
      <c r="L124" s="643" t="s">
        <v>1211</v>
      </c>
      <c r="M124" s="635" t="s">
        <v>1644</v>
      </c>
      <c r="N124" s="644" t="s">
        <v>1627</v>
      </c>
      <c r="O124" s="645">
        <v>2025</v>
      </c>
      <c r="P124" s="645"/>
      <c r="Q124" s="645"/>
      <c r="R124" s="644" t="s">
        <v>1627</v>
      </c>
      <c r="S124" s="644">
        <v>45733</v>
      </c>
      <c r="T124" s="644">
        <v>45734</v>
      </c>
      <c r="U124" s="647"/>
      <c r="V124" t="s">
        <v>1246</v>
      </c>
      <c r="W124" t="s">
        <v>1256</v>
      </c>
      <c r="X124" t="s">
        <v>1256</v>
      </c>
      <c r="Y124" s="505">
        <v>46183</v>
      </c>
      <c r="Z124" t="s">
        <v>1645</v>
      </c>
      <c r="AA124" t="s">
        <v>1563</v>
      </c>
      <c r="AB124" t="s">
        <v>1579</v>
      </c>
      <c r="AC124" t="s">
        <v>1565</v>
      </c>
    </row>
    <row r="125" spans="1:29" ht="16.5">
      <c r="A125" s="689">
        <v>35</v>
      </c>
      <c r="B125" s="661">
        <v>26015</v>
      </c>
      <c r="C125" s="662" t="s">
        <v>1646</v>
      </c>
      <c r="D125" s="699" t="s">
        <v>1152</v>
      </c>
      <c r="E125" s="642" t="s">
        <v>1238</v>
      </c>
      <c r="F125" s="642" t="s">
        <v>1239</v>
      </c>
      <c r="G125" s="642" t="s">
        <v>160</v>
      </c>
      <c r="H125" s="636" t="s">
        <v>1212</v>
      </c>
      <c r="I125" s="636" t="s">
        <v>1647</v>
      </c>
      <c r="J125" s="636" t="s">
        <v>1482</v>
      </c>
      <c r="K125" s="641" t="s">
        <v>1298</v>
      </c>
      <c r="L125" s="391" t="s">
        <v>1213</v>
      </c>
      <c r="M125" s="635"/>
      <c r="N125" s="680" t="s">
        <v>1499</v>
      </c>
      <c r="O125" s="645"/>
      <c r="P125" s="644"/>
      <c r="Q125" s="644"/>
      <c r="R125" s="644"/>
      <c r="S125" s="644"/>
      <c r="T125" s="644"/>
      <c r="U125" s="659"/>
      <c r="V125" t="s">
        <v>1346</v>
      </c>
      <c r="Y125" s="505">
        <v>46188</v>
      </c>
      <c r="Z125" t="s">
        <v>1648</v>
      </c>
      <c r="AA125" t="s">
        <v>1563</v>
      </c>
      <c r="AB125" t="s">
        <v>1577</v>
      </c>
      <c r="AC125" t="s">
        <v>1565</v>
      </c>
    </row>
    <row r="126" spans="1:29" ht="16.5">
      <c r="A126" s="689">
        <v>36</v>
      </c>
      <c r="B126" s="684">
        <v>25020</v>
      </c>
      <c r="C126" s="648" t="s">
        <v>1649</v>
      </c>
      <c r="D126" s="699" t="s">
        <v>1152</v>
      </c>
      <c r="E126" s="648" t="s">
        <v>1650</v>
      </c>
      <c r="F126" s="648" t="s">
        <v>1239</v>
      </c>
      <c r="G126" s="649" t="s">
        <v>271</v>
      </c>
      <c r="H126" s="642" t="s">
        <v>1497</v>
      </c>
      <c r="I126" s="649" t="s">
        <v>1498</v>
      </c>
      <c r="J126" s="649"/>
      <c r="K126" s="649" t="s">
        <v>1298</v>
      </c>
      <c r="L126" s="642" t="s">
        <v>1169</v>
      </c>
      <c r="M126" s="648" t="s">
        <v>1256</v>
      </c>
      <c r="N126" s="650" t="s">
        <v>1651</v>
      </c>
      <c r="O126" s="645">
        <v>2025</v>
      </c>
      <c r="P126" s="645"/>
      <c r="Q126" s="645"/>
      <c r="R126" s="644"/>
      <c r="S126" s="685"/>
      <c r="T126" s="651"/>
      <c r="U126" s="653" t="s">
        <v>1256</v>
      </c>
      <c r="V126" t="s">
        <v>1246</v>
      </c>
      <c r="Y126" s="505">
        <v>46174</v>
      </c>
      <c r="Z126" t="s">
        <v>1652</v>
      </c>
      <c r="AA126" t="s">
        <v>1563</v>
      </c>
      <c r="AB126" t="s">
        <v>1577</v>
      </c>
      <c r="AC126" t="s">
        <v>1565</v>
      </c>
    </row>
    <row r="127" spans="1:29" ht="16.5">
      <c r="A127" s="689">
        <v>37</v>
      </c>
      <c r="B127" s="661">
        <v>26004</v>
      </c>
      <c r="C127" s="662" t="s">
        <v>170</v>
      </c>
      <c r="D127" s="699" t="s">
        <v>1152</v>
      </c>
      <c r="E127" s="642" t="s">
        <v>1238</v>
      </c>
      <c r="F127" s="642" t="s">
        <v>1239</v>
      </c>
      <c r="G127" s="642" t="s">
        <v>160</v>
      </c>
      <c r="H127" s="636" t="s">
        <v>1178</v>
      </c>
      <c r="I127" s="636" t="s">
        <v>1591</v>
      </c>
      <c r="J127" s="636" t="s">
        <v>1482</v>
      </c>
      <c r="K127" s="641" t="s">
        <v>1348</v>
      </c>
      <c r="L127" s="391" t="s">
        <v>1216</v>
      </c>
      <c r="M127" s="635"/>
      <c r="N127" s="680" t="s">
        <v>1653</v>
      </c>
      <c r="O127" s="645">
        <v>2026</v>
      </c>
      <c r="P127" s="644">
        <v>46086</v>
      </c>
      <c r="Q127" s="644">
        <v>46177</v>
      </c>
      <c r="R127" s="644"/>
      <c r="S127" s="644"/>
      <c r="T127" s="644"/>
      <c r="U127" s="659">
        <v>46177</v>
      </c>
      <c r="V127" t="s">
        <v>1318</v>
      </c>
      <c r="Y127" s="505">
        <v>46217</v>
      </c>
      <c r="Z127" t="s">
        <v>1570</v>
      </c>
      <c r="AA127" t="s">
        <v>1617</v>
      </c>
      <c r="AB127" t="s">
        <v>1572</v>
      </c>
      <c r="AC127" t="s">
        <v>1565</v>
      </c>
    </row>
    <row r="128" spans="1:29" ht="16.5">
      <c r="A128" s="689">
        <v>38</v>
      </c>
      <c r="B128" s="661">
        <v>25022</v>
      </c>
      <c r="C128" s="662" t="s">
        <v>109</v>
      </c>
      <c r="D128" s="699" t="s">
        <v>1152</v>
      </c>
      <c r="E128" s="641" t="s">
        <v>1650</v>
      </c>
      <c r="F128" s="641" t="s">
        <v>1239</v>
      </c>
      <c r="G128" s="642" t="s">
        <v>110</v>
      </c>
      <c r="H128" s="636" t="s">
        <v>1214</v>
      </c>
      <c r="I128" s="636" t="s">
        <v>1458</v>
      </c>
      <c r="J128" s="636" t="s">
        <v>1277</v>
      </c>
      <c r="K128" s="641" t="s">
        <v>1278</v>
      </c>
      <c r="L128" s="641" t="s">
        <v>1215</v>
      </c>
      <c r="M128" s="635"/>
      <c r="N128" s="644" t="s">
        <v>1654</v>
      </c>
      <c r="O128" s="645">
        <v>2025</v>
      </c>
      <c r="P128" s="645"/>
      <c r="Q128" s="645"/>
      <c r="R128" s="644"/>
      <c r="S128" s="644"/>
      <c r="T128" s="644"/>
      <c r="U128" s="647"/>
      <c r="V128" t="s">
        <v>1246</v>
      </c>
      <c r="W128">
        <v>46023</v>
      </c>
      <c r="Y128" s="505">
        <v>46224</v>
      </c>
      <c r="Z128" t="s">
        <v>1570</v>
      </c>
      <c r="AA128" t="s">
        <v>1617</v>
      </c>
      <c r="AB128" t="s">
        <v>1572</v>
      </c>
      <c r="AC128" t="s">
        <v>1565</v>
      </c>
    </row>
    <row r="129" spans="1:29" ht="16.5">
      <c r="A129" s="689">
        <v>39</v>
      </c>
      <c r="B129" s="640">
        <v>26012</v>
      </c>
      <c r="C129" s="641" t="s">
        <v>1655</v>
      </c>
      <c r="D129" s="699" t="s">
        <v>1152</v>
      </c>
      <c r="E129" s="642" t="s">
        <v>1238</v>
      </c>
      <c r="F129" s="642" t="s">
        <v>1521</v>
      </c>
      <c r="G129" s="641" t="s">
        <v>683</v>
      </c>
      <c r="H129" s="642" t="s">
        <v>1217</v>
      </c>
      <c r="I129" s="641" t="s">
        <v>1656</v>
      </c>
      <c r="J129" s="636">
        <v>0</v>
      </c>
      <c r="K129" s="641" t="s">
        <v>1242</v>
      </c>
      <c r="L129" s="391" t="s">
        <v>1218</v>
      </c>
      <c r="M129" s="641"/>
      <c r="N129" s="644" t="s">
        <v>1657</v>
      </c>
      <c r="O129" s="645">
        <v>2026</v>
      </c>
      <c r="P129" s="645"/>
      <c r="Q129" s="645"/>
      <c r="R129" s="644" t="s">
        <v>1657</v>
      </c>
      <c r="S129" s="644">
        <v>46187</v>
      </c>
      <c r="T129" s="644"/>
      <c r="U129" s="659">
        <v>46217</v>
      </c>
      <c r="V129" t="s">
        <v>1318</v>
      </c>
      <c r="Y129" s="505">
        <v>46235</v>
      </c>
      <c r="Z129" t="s">
        <v>1570</v>
      </c>
      <c r="AA129" t="s">
        <v>1563</v>
      </c>
      <c r="AB129" t="s">
        <v>1577</v>
      </c>
      <c r="AC129" t="s">
        <v>1658</v>
      </c>
    </row>
    <row r="130" spans="1:29" ht="16.5">
      <c r="A130" s="689">
        <v>40</v>
      </c>
      <c r="B130" s="661">
        <v>22003</v>
      </c>
      <c r="C130" s="662" t="s">
        <v>125</v>
      </c>
      <c r="D130" s="699" t="s">
        <v>1152</v>
      </c>
      <c r="E130" s="641" t="s">
        <v>1238</v>
      </c>
      <c r="F130" s="641" t="s">
        <v>1239</v>
      </c>
      <c r="G130" s="641" t="s">
        <v>126</v>
      </c>
      <c r="H130" s="636" t="s">
        <v>1419</v>
      </c>
      <c r="I130" s="636" t="s">
        <v>1420</v>
      </c>
      <c r="J130" s="636" t="s">
        <v>1277</v>
      </c>
      <c r="K130" s="642" t="s">
        <v>1278</v>
      </c>
      <c r="L130" s="642" t="s">
        <v>1659</v>
      </c>
      <c r="M130" s="635" t="s">
        <v>1659</v>
      </c>
      <c r="N130" s="644" t="s">
        <v>1569</v>
      </c>
      <c r="O130" s="645">
        <v>2022</v>
      </c>
      <c r="P130" s="645"/>
      <c r="Q130" s="645"/>
      <c r="R130" s="644" t="s">
        <v>1569</v>
      </c>
      <c r="S130" s="644">
        <v>44848</v>
      </c>
      <c r="T130" s="644">
        <v>44849</v>
      </c>
      <c r="U130" s="647"/>
      <c r="V130" t="s">
        <v>1246</v>
      </c>
      <c r="W130">
        <v>45931</v>
      </c>
      <c r="Y130" s="505">
        <v>46235</v>
      </c>
      <c r="Z130" t="s">
        <v>1570</v>
      </c>
      <c r="AA130" t="s">
        <v>1563</v>
      </c>
    </row>
    <row r="131" spans="1:29" ht="16.5">
      <c r="A131" s="689">
        <v>41</v>
      </c>
      <c r="B131" s="640">
        <v>26017</v>
      </c>
      <c r="C131" s="641" t="s">
        <v>188</v>
      </c>
      <c r="D131" s="699" t="s">
        <v>1152</v>
      </c>
      <c r="E131" s="641" t="s">
        <v>1238</v>
      </c>
      <c r="F131" s="641" t="s">
        <v>1239</v>
      </c>
      <c r="G131" s="641" t="s">
        <v>118</v>
      </c>
      <c r="H131" s="636" t="s">
        <v>1302</v>
      </c>
      <c r="I131" s="636" t="s">
        <v>1303</v>
      </c>
      <c r="J131" s="636" t="s">
        <v>1284</v>
      </c>
      <c r="K131" s="642" t="s">
        <v>1298</v>
      </c>
      <c r="L131" s="391" t="s">
        <v>1660</v>
      </c>
      <c r="M131" s="392" t="s">
        <v>1661</v>
      </c>
      <c r="N131" s="658" t="s">
        <v>1662</v>
      </c>
      <c r="O131" s="645">
        <v>2026</v>
      </c>
      <c r="P131" s="645"/>
      <c r="Q131" s="645"/>
      <c r="R131" s="644" t="s">
        <v>1662</v>
      </c>
      <c r="S131" s="644">
        <v>46248</v>
      </c>
      <c r="T131" s="644"/>
      <c r="U131" s="659">
        <v>46248</v>
      </c>
      <c r="V131" t="s">
        <v>1318</v>
      </c>
      <c r="Y131" s="505">
        <v>46235</v>
      </c>
      <c r="Z131" t="s">
        <v>1570</v>
      </c>
      <c r="AA131" t="s">
        <v>1617</v>
      </c>
      <c r="AB131" t="s">
        <v>1572</v>
      </c>
      <c r="AC131" t="s">
        <v>1565</v>
      </c>
    </row>
    <row r="132" spans="1:29" ht="17.25">
      <c r="A132" s="689">
        <v>42</v>
      </c>
      <c r="B132" s="640">
        <v>25025</v>
      </c>
      <c r="C132" s="662" t="s">
        <v>715</v>
      </c>
      <c r="D132" s="699" t="s">
        <v>1152</v>
      </c>
      <c r="E132" s="642" t="s">
        <v>1238</v>
      </c>
      <c r="F132" s="642" t="s">
        <v>1239</v>
      </c>
      <c r="G132" s="642" t="s">
        <v>673</v>
      </c>
      <c r="H132" s="636" t="s">
        <v>1160</v>
      </c>
      <c r="I132" s="636" t="s">
        <v>1508</v>
      </c>
      <c r="J132" s="636" t="s">
        <v>1379</v>
      </c>
      <c r="K132" s="642" t="s">
        <v>1298</v>
      </c>
      <c r="L132" s="395" t="s">
        <v>1663</v>
      </c>
      <c r="M132" s="635" t="s">
        <v>1664</v>
      </c>
      <c r="N132" s="670" t="s">
        <v>1665</v>
      </c>
      <c r="O132" s="645">
        <v>2025</v>
      </c>
      <c r="P132" s="645"/>
      <c r="Q132" s="645"/>
      <c r="R132" s="644">
        <v>45866</v>
      </c>
      <c r="S132" s="644">
        <v>45930</v>
      </c>
      <c r="T132" s="644">
        <v>45931</v>
      </c>
      <c r="U132" s="663"/>
      <c r="V132" t="s">
        <v>1318</v>
      </c>
      <c r="Y132">
        <v>46234</v>
      </c>
      <c r="Z132">
        <v>0</v>
      </c>
      <c r="AA132" t="s">
        <v>1563</v>
      </c>
      <c r="AB132" t="s">
        <v>1577</v>
      </c>
    </row>
    <row r="133" spans="1:29" ht="16.5">
      <c r="A133" s="689">
        <v>43</v>
      </c>
      <c r="B133" s="661">
        <v>26016</v>
      </c>
      <c r="C133" s="662" t="s">
        <v>182</v>
      </c>
      <c r="D133" s="699" t="s">
        <v>1152</v>
      </c>
      <c r="E133" s="642" t="s">
        <v>1238</v>
      </c>
      <c r="F133" s="642" t="s">
        <v>1239</v>
      </c>
      <c r="G133" s="642" t="s">
        <v>160</v>
      </c>
      <c r="H133" s="636" t="s">
        <v>1212</v>
      </c>
      <c r="I133" s="636" t="s">
        <v>1490</v>
      </c>
      <c r="J133" s="636" t="s">
        <v>1482</v>
      </c>
      <c r="K133" s="642" t="s">
        <v>1298</v>
      </c>
      <c r="L133" s="391" t="s">
        <v>1666</v>
      </c>
      <c r="M133" s="392" t="s">
        <v>1667</v>
      </c>
      <c r="N133" s="680" t="s">
        <v>1662</v>
      </c>
      <c r="O133" s="645">
        <v>2026</v>
      </c>
      <c r="P133" s="644"/>
      <c r="Q133" s="644"/>
      <c r="R133" s="644" t="s">
        <v>1662</v>
      </c>
      <c r="S133" s="644">
        <v>46248</v>
      </c>
      <c r="T133" s="644"/>
      <c r="U133" s="659">
        <v>46248</v>
      </c>
      <c r="V133" t="s">
        <v>1246</v>
      </c>
      <c r="W133">
        <v>45689</v>
      </c>
      <c r="Y133">
        <v>46242</v>
      </c>
      <c r="Z133">
        <v>0</v>
      </c>
      <c r="AA133" t="s">
        <v>1563</v>
      </c>
      <c r="AB133" t="s">
        <v>1577</v>
      </c>
    </row>
    <row r="134" spans="1:29" ht="16.5">
      <c r="A134" s="689">
        <v>44</v>
      </c>
      <c r="B134" s="661">
        <v>26022</v>
      </c>
      <c r="C134" s="662" t="s">
        <v>1668</v>
      </c>
      <c r="D134" s="699" t="s">
        <v>1152</v>
      </c>
      <c r="E134" s="642" t="s">
        <v>1238</v>
      </c>
      <c r="F134" s="642" t="s">
        <v>1239</v>
      </c>
      <c r="G134" s="642" t="s">
        <v>160</v>
      </c>
      <c r="H134" s="636" t="s">
        <v>1212</v>
      </c>
      <c r="I134" s="636" t="s">
        <v>1490</v>
      </c>
      <c r="J134" s="636" t="s">
        <v>1482</v>
      </c>
      <c r="K134" s="642" t="s">
        <v>1298</v>
      </c>
      <c r="L134" s="391" t="s">
        <v>1669</v>
      </c>
      <c r="M134" s="392"/>
      <c r="N134" s="680" t="s">
        <v>1670</v>
      </c>
      <c r="O134" s="645">
        <v>2026</v>
      </c>
      <c r="P134" s="644"/>
      <c r="Q134" s="644"/>
      <c r="R134" s="644" t="s">
        <v>1670</v>
      </c>
      <c r="S134" s="644">
        <v>46294</v>
      </c>
      <c r="T134" s="644"/>
      <c r="U134" s="659">
        <v>46294</v>
      </c>
      <c r="V134" t="s">
        <v>1318</v>
      </c>
      <c r="Y134">
        <v>46245</v>
      </c>
      <c r="Z134" t="s">
        <v>1671</v>
      </c>
      <c r="AA134" t="s">
        <v>1563</v>
      </c>
      <c r="AB134" t="s">
        <v>1577</v>
      </c>
    </row>
    <row r="135" spans="1:29" ht="17.25">
      <c r="A135" s="389">
        <v>115</v>
      </c>
      <c r="B135" s="661">
        <v>24001</v>
      </c>
      <c r="C135" s="662" t="s">
        <v>720</v>
      </c>
      <c r="D135" s="699" t="s">
        <v>1152</v>
      </c>
      <c r="E135" s="642" t="s">
        <v>1238</v>
      </c>
      <c r="F135" s="642" t="s">
        <v>1239</v>
      </c>
      <c r="G135" s="642" t="s">
        <v>136</v>
      </c>
      <c r="H135" s="636" t="s">
        <v>1672</v>
      </c>
      <c r="I135" s="636" t="s">
        <v>1673</v>
      </c>
      <c r="J135" s="636" t="s">
        <v>1277</v>
      </c>
      <c r="K135" s="642" t="s">
        <v>1392</v>
      </c>
      <c r="L135" s="642" t="s">
        <v>1674</v>
      </c>
      <c r="M135" s="635" t="s">
        <v>1675</v>
      </c>
      <c r="N135" s="644" t="s">
        <v>1369</v>
      </c>
      <c r="O135" s="645">
        <v>2024</v>
      </c>
      <c r="P135" s="645"/>
      <c r="Q135" s="645"/>
      <c r="R135" s="644" t="s">
        <v>1369</v>
      </c>
      <c r="S135" s="644">
        <v>45412</v>
      </c>
      <c r="T135" s="644">
        <v>45413</v>
      </c>
      <c r="U135" s="647"/>
      <c r="V135" t="s">
        <v>1318</v>
      </c>
      <c r="Y135">
        <v>46254</v>
      </c>
      <c r="Z135">
        <v>0</v>
      </c>
      <c r="AA135" t="s">
        <v>1563</v>
      </c>
      <c r="AB135" t="s">
        <v>1577</v>
      </c>
    </row>
    <row r="136" spans="1:29" ht="17.25">
      <c r="A136" s="389">
        <v>116</v>
      </c>
      <c r="B136" s="661">
        <v>26014</v>
      </c>
      <c r="C136" s="662" t="s">
        <v>205</v>
      </c>
      <c r="D136" s="699" t="s">
        <v>1152</v>
      </c>
      <c r="E136" s="642" t="s">
        <v>1238</v>
      </c>
      <c r="F136" s="642" t="s">
        <v>1239</v>
      </c>
      <c r="G136" s="642" t="s">
        <v>126</v>
      </c>
      <c r="H136" s="636" t="s">
        <v>1207</v>
      </c>
      <c r="I136" s="636" t="s">
        <v>1640</v>
      </c>
      <c r="J136" s="636"/>
      <c r="K136" s="642" t="s">
        <v>1298</v>
      </c>
      <c r="L136" s="227" t="s">
        <v>1179</v>
      </c>
      <c r="M136" s="392" t="s">
        <v>1676</v>
      </c>
      <c r="N136" s="670" t="s">
        <v>1499</v>
      </c>
      <c r="O136" s="645">
        <v>2026</v>
      </c>
      <c r="P136" s="644"/>
      <c r="Q136" s="645"/>
      <c r="R136" s="644" t="s">
        <v>1499</v>
      </c>
      <c r="S136" s="644">
        <v>46243</v>
      </c>
      <c r="T136" s="644"/>
      <c r="U136" s="663">
        <v>46243</v>
      </c>
      <c r="V136" t="s">
        <v>1246</v>
      </c>
      <c r="W136">
        <v>45992</v>
      </c>
      <c r="AA136" t="s">
        <v>1563</v>
      </c>
    </row>
    <row r="137" spans="1:29" ht="17.25">
      <c r="A137" s="389">
        <v>117</v>
      </c>
      <c r="B137" s="661">
        <v>26020</v>
      </c>
      <c r="C137" s="662" t="s">
        <v>1677</v>
      </c>
      <c r="D137" s="699" t="s">
        <v>1152</v>
      </c>
      <c r="E137" s="642" t="s">
        <v>1238</v>
      </c>
      <c r="F137" s="642" t="s">
        <v>1239</v>
      </c>
      <c r="G137" s="642" t="s">
        <v>160</v>
      </c>
      <c r="H137" s="636" t="s">
        <v>1678</v>
      </c>
      <c r="I137" s="636" t="s">
        <v>1679</v>
      </c>
      <c r="J137" s="636" t="s">
        <v>1482</v>
      </c>
      <c r="K137" s="642" t="s">
        <v>1267</v>
      </c>
      <c r="L137" s="391" t="s">
        <v>1680</v>
      </c>
      <c r="M137" s="392" t="s">
        <v>1681</v>
      </c>
      <c r="N137" s="680" t="s">
        <v>1682</v>
      </c>
      <c r="O137" s="645">
        <v>2026</v>
      </c>
      <c r="P137" s="644"/>
      <c r="Q137" s="644"/>
      <c r="R137" s="644" t="s">
        <v>1682</v>
      </c>
      <c r="S137" s="644">
        <v>46256</v>
      </c>
      <c r="T137" s="644"/>
      <c r="U137" s="659">
        <v>46256</v>
      </c>
    </row>
    <row r="138" spans="1:29" ht="17.25">
      <c r="A138" s="389">
        <v>118</v>
      </c>
      <c r="B138" s="661">
        <v>25038</v>
      </c>
      <c r="C138" s="662" t="s">
        <v>1683</v>
      </c>
      <c r="D138" s="699" t="s">
        <v>1152</v>
      </c>
      <c r="E138" s="642" t="s">
        <v>1238</v>
      </c>
      <c r="F138" s="642" t="s">
        <v>1239</v>
      </c>
      <c r="G138" s="665" t="s">
        <v>1507</v>
      </c>
      <c r="H138" s="636" t="s">
        <v>1517</v>
      </c>
      <c r="I138" s="636" t="s">
        <v>1518</v>
      </c>
      <c r="J138" s="636" t="s">
        <v>1509</v>
      </c>
      <c r="K138" s="642" t="s">
        <v>1267</v>
      </c>
      <c r="L138" s="390" t="s">
        <v>1684</v>
      </c>
      <c r="M138" s="401" t="s">
        <v>1685</v>
      </c>
      <c r="N138" s="670" t="s">
        <v>1609</v>
      </c>
      <c r="O138" s="645">
        <v>2025</v>
      </c>
      <c r="P138" s="645"/>
      <c r="Q138" s="645"/>
      <c r="R138" s="644" t="s">
        <v>1609</v>
      </c>
      <c r="S138" s="644">
        <v>46031</v>
      </c>
      <c r="T138" s="644">
        <v>46000</v>
      </c>
      <c r="U138" s="647"/>
    </row>
    <row r="139" spans="1:29" ht="17.25">
      <c r="A139" s="389">
        <v>119</v>
      </c>
      <c r="B139" s="661">
        <v>26025</v>
      </c>
      <c r="C139" s="662" t="s">
        <v>1686</v>
      </c>
      <c r="D139" s="699" t="s">
        <v>1152</v>
      </c>
      <c r="E139" s="642" t="s">
        <v>1238</v>
      </c>
      <c r="F139" s="642" t="s">
        <v>1239</v>
      </c>
      <c r="G139" s="642" t="s">
        <v>136</v>
      </c>
      <c r="H139" s="636" t="s">
        <v>1183</v>
      </c>
      <c r="I139" s="636" t="s">
        <v>1597</v>
      </c>
      <c r="J139" s="636" t="s">
        <v>1277</v>
      </c>
      <c r="K139" s="642" t="s">
        <v>1278</v>
      </c>
      <c r="L139" s="391" t="s">
        <v>1687</v>
      </c>
      <c r="M139" s="635"/>
      <c r="N139" s="644" t="s">
        <v>1688</v>
      </c>
      <c r="O139" s="645">
        <v>2026</v>
      </c>
      <c r="P139" s="645"/>
      <c r="Q139" s="645"/>
      <c r="R139" s="644" t="s">
        <v>1688</v>
      </c>
      <c r="S139" s="644">
        <v>46299</v>
      </c>
      <c r="T139" s="644"/>
      <c r="U139" s="659">
        <v>46299</v>
      </c>
    </row>
  </sheetData>
  <mergeCells count="1">
    <mergeCell ref="D1:G1"/>
  </mergeCells>
  <dataValidations count="1">
    <dataValidation allowBlank="1" showInputMessage="1" showErrorMessage="1" sqref="H1:J1" xr:uid="{9BFE0018-D747-47A8-B8CD-9E710BCB0D3D}"/>
  </dataValidations>
  <hyperlinks>
    <hyperlink ref="L64" r:id="rId1" xr:uid="{BB6EE565-3779-4ABA-A9F5-030838A6AEFB}"/>
    <hyperlink ref="L8" r:id="rId2" xr:uid="{A0195532-949A-4219-9823-822B742366B9}"/>
    <hyperlink ref="L96" r:id="rId3" xr:uid="{42B0B54F-BC35-4DC2-8339-B8FABF57AEF3}"/>
    <hyperlink ref="L60" r:id="rId4" xr:uid="{55A6ADE1-87FE-421B-BA32-C5946A525786}"/>
    <hyperlink ref="L59" r:id="rId5" xr:uid="{452545FF-57C6-40BA-9F2B-7048F861DEEF}"/>
    <hyperlink ref="L122" r:id="rId6" xr:uid="{FC7928B0-650C-4CF9-B348-5CD4ED783FEE}"/>
    <hyperlink ref="L107" r:id="rId7" xr:uid="{8364CF3D-AAB7-4A25-BB28-BA6B2A6F0163}"/>
    <hyperlink ref="L117" r:id="rId8" xr:uid="{DFE64340-DF8C-4302-8FF1-A5729823D9C5}"/>
    <hyperlink ref="L43" r:id="rId9" xr:uid="{528BF3DC-46F4-459D-8F19-D877B4E6A27C}"/>
    <hyperlink ref="L44" r:id="rId10" xr:uid="{27A02C77-0DBB-48F9-B3B8-36DF895B7E60}"/>
    <hyperlink ref="L118" r:id="rId11" xr:uid="{5D45C05B-2670-4138-8127-2F1EFEB2D4DE}"/>
    <hyperlink ref="M118" r:id="rId12" xr:uid="{FF1D9496-A655-4213-BD41-F6020458DDE9}"/>
    <hyperlink ref="L9" r:id="rId13" xr:uid="{DC043D81-3BA6-4D51-A89B-69BEBDDBF8B8}"/>
    <hyperlink ref="L11" r:id="rId14" xr:uid="{D31791BE-A38A-429D-A4E8-18DBA34D9676}"/>
    <hyperlink ref="L124" r:id="rId15" xr:uid="{45D46B48-31A2-4717-84FC-2CD975D30EA8}"/>
    <hyperlink ref="L65" r:id="rId16" xr:uid="{FDE5F2E2-9E3F-4042-8B39-1AAEBDF3C912}"/>
    <hyperlink ref="L101" r:id="rId17" xr:uid="{C6237AEA-60E6-49FD-B330-48F370714376}"/>
    <hyperlink ref="L58" r:id="rId18" xr:uid="{3C59E4A4-084C-4BBF-8019-4091A58B7C01}"/>
    <hyperlink ref="L102" r:id="rId19" xr:uid="{81ADEF53-1EC2-4A3A-AA42-83E486777F5D}"/>
    <hyperlink ref="L123" r:id="rId20" xr:uid="{F0582B28-8039-455A-AF59-6F2DC44DB598}"/>
    <hyperlink ref="L128" r:id="rId21" xr:uid="{ABE358D9-112F-488A-A7D6-F4CDBD0E511A}"/>
    <hyperlink ref="L119" r:id="rId22" xr:uid="{16EDFDE7-86BB-4239-8C40-8ACE82BAE439}"/>
    <hyperlink ref="L49" r:id="rId23" xr:uid="{5E670433-C515-4429-94AA-A39FB13A337B}"/>
    <hyperlink ref="L35" r:id="rId24" xr:uid="{A9DDACAC-5583-42F5-9890-606599A3767B}"/>
    <hyperlink ref="L98" r:id="rId25" xr:uid="{728735C6-463C-4B8D-8C4D-F9D33D7F7696}"/>
    <hyperlink ref="L17" r:id="rId26" xr:uid="{E867EA4F-23D9-4BB8-A6E3-A8F237B71826}"/>
    <hyperlink ref="L12" r:id="rId27" xr:uid="{F584AB67-B9AF-4609-A23C-F4529C794DF8}"/>
    <hyperlink ref="L103" r:id="rId28" xr:uid="{7F98248E-29AF-4710-B0BE-9D0720487955}"/>
    <hyperlink ref="L105" r:id="rId29" xr:uid="{8E7781CD-700D-4FD5-8D85-34945454A73C}"/>
    <hyperlink ref="L106" r:id="rId30" xr:uid="{10EBC330-610D-4BB2-9AD3-DC5B4AAC3FC7}"/>
    <hyperlink ref="L112" r:id="rId31" xr:uid="{5F1F2841-CD6B-485A-BE10-0FBCEF6D1552}"/>
    <hyperlink ref="L138" r:id="rId32" xr:uid="{7ACCB559-C3CA-4C26-A767-4929E9A311A9}"/>
    <hyperlink ref="L109" r:id="rId33" xr:uid="{738A121B-B37E-4286-B65E-E8623918E38E}"/>
    <hyperlink ref="L61" r:id="rId34" xr:uid="{A3DD4F1E-5921-4254-BC0B-DEEED4D19E54}"/>
    <hyperlink ref="L62" r:id="rId35" xr:uid="{011CE1D2-07AD-48AA-8C76-F5A60AA11823}"/>
    <hyperlink ref="L37" r:id="rId36" xr:uid="{A494FA52-7939-440A-A0C5-8F6461C8C410}"/>
    <hyperlink ref="L71" r:id="rId37" xr:uid="{47D3E060-A336-4753-9CE8-D7AA40BCFB89}"/>
    <hyperlink ref="L116" r:id="rId38" xr:uid="{5C086C78-B81B-483B-B6C5-53F6A4E15180}"/>
    <hyperlink ref="L54" r:id="rId39" xr:uid="{1951C729-6F07-4DA8-8AB4-030531DBE86B}"/>
    <hyperlink ref="L55" r:id="rId40" xr:uid="{AAD46443-5919-473C-B63E-597127813494}"/>
    <hyperlink ref="L38" r:id="rId41" xr:uid="{177A03DA-A4F0-4CFE-97F5-7669FC67674C}"/>
    <hyperlink ref="L110" r:id="rId42" xr:uid="{E3E34EB7-A383-49FF-987D-52C17D4FCA58}"/>
    <hyperlink ref="L22" r:id="rId43" xr:uid="{82AE8318-F8E3-4E99-BE44-F6D3AE3B2266}"/>
    <hyperlink ref="L127" r:id="rId44" xr:uid="{2943917B-6DCD-432D-92E2-3C78A0EE2407}"/>
    <hyperlink ref="L39" r:id="rId45" xr:uid="{8FCE9520-B5B3-4B3F-847F-4CEC0D78AAFB}"/>
    <hyperlink ref="L30" r:id="rId46" xr:uid="{4607727F-D31F-40B8-B925-EA558BBDB046}"/>
    <hyperlink ref="L121" r:id="rId47" xr:uid="{4DE79B5C-558C-4EF0-9E4D-5E6B0EE21E12}"/>
    <hyperlink ref="L120" r:id="rId48" xr:uid="{2764EBFB-FE33-4D23-88A5-67CAF670AB6F}"/>
    <hyperlink ref="L129" r:id="rId49" xr:uid="{59DA5E9B-45E6-4640-8CA3-62FDF47E761D}"/>
    <hyperlink ref="M30" r:id="rId50" xr:uid="{8E32837C-B762-4D0A-9CE7-08152CEAC3EC}"/>
    <hyperlink ref="M39" r:id="rId51" xr:uid="{7733BC33-9047-4AFE-876C-FA123079EB7A}"/>
    <hyperlink ref="M37" r:id="rId52" xr:uid="{3584B30C-A558-4616-A8F2-D8199AA5955B}"/>
    <hyperlink ref="M38" r:id="rId53" xr:uid="{D9235DC7-2158-43B3-AADD-53E39EC5C6BF}"/>
    <hyperlink ref="M22" r:id="rId54" xr:uid="{02BF6DBD-CE43-4224-8960-7CF63BA32626}"/>
    <hyperlink ref="M121" r:id="rId55" xr:uid="{23747C83-22FD-43A8-A797-4CDE39D9253E}"/>
    <hyperlink ref="M54" r:id="rId56" xr:uid="{EBDF4A94-8DB1-43DA-B7EB-84C2B58C59FC}"/>
    <hyperlink ref="M55" r:id="rId57" xr:uid="{0482C9D9-C779-41BE-92C1-FB97D72BB88B}"/>
    <hyperlink ref="M61" r:id="rId58" xr:uid="{7081CC2E-105D-479B-8E28-D8D9FBC6F3F2}"/>
    <hyperlink ref="M62" r:id="rId59" xr:uid="{B3CF9A93-67F1-4FE6-A74A-B7CADA85536D}"/>
    <hyperlink ref="M138" r:id="rId60" xr:uid="{08DDF17E-67DC-499E-B223-D7D5BC6BCBCD}"/>
    <hyperlink ref="M71" r:id="rId61" xr:uid="{3DA927A3-1FF1-489C-92D2-1331E9C6CFFF}"/>
    <hyperlink ref="L136" r:id="rId62" xr:uid="{DAACE3CB-C989-40E7-B341-ACE5FB26507C}"/>
    <hyperlink ref="L125" r:id="rId63" xr:uid="{50DE4527-AB2B-4FFB-8D1F-82DE01028E0F}"/>
    <hyperlink ref="L131" r:id="rId64" xr:uid="{C67505AC-F474-4898-A520-E00F9D6FDF0D}"/>
    <hyperlink ref="L133" r:id="rId65" xr:uid="{1C949A9E-EAEE-40BE-9801-665EE1A4CC75}"/>
    <hyperlink ref="L45" r:id="rId66" xr:uid="{8AA7616B-6779-4871-8BB1-B58148ED466F}"/>
    <hyperlink ref="L137" r:id="rId67" xr:uid="{48C7BE54-700E-42D2-BEAA-60A213D772D6}"/>
    <hyperlink ref="L46" r:id="rId68" xr:uid="{25EA5ED5-48CC-4A07-9166-CB95F3211DD7}"/>
    <hyperlink ref="L69" r:id="rId69" xr:uid="{34523A00-3769-4820-B8BF-E3F75BD5711C}"/>
    <hyperlink ref="L29" r:id="rId70" xr:uid="{7D01FB48-9302-4AB5-B883-9A2B92B892E2}"/>
    <hyperlink ref="M131" r:id="rId71" xr:uid="{2F1420C3-28FA-4A6E-A0EC-B2CC51E1B6E6}"/>
    <hyperlink ref="M45" r:id="rId72" xr:uid="{B0CDA08A-F903-4E67-9296-5536BC0C8EEE}"/>
    <hyperlink ref="M46" r:id="rId73" xr:uid="{E7813A88-4572-44B9-9395-66C67D7A44EA}"/>
    <hyperlink ref="M136" r:id="rId74" xr:uid="{9E59EDAA-AB1B-45A1-91FF-AA60FCBE38F2}"/>
    <hyperlink ref="M133" r:id="rId75" xr:uid="{39EAC62C-4519-4378-BE03-4AA785C11BCC}"/>
    <hyperlink ref="M137" r:id="rId76" xr:uid="{1AF92A8A-65E7-4F23-870F-66F3BC2D42C5}"/>
    <hyperlink ref="M69" r:id="rId77" xr:uid="{FE45D14F-02F1-4A53-94E0-613B03B0CDDD}"/>
    <hyperlink ref="L134" r:id="rId78" xr:uid="{BDB6B496-9C82-44C5-9537-199E552CA036}"/>
    <hyperlink ref="L40" r:id="rId79" xr:uid="{A7826B7B-532B-4BEA-9B75-0AE815AB868E}"/>
    <hyperlink ref="L72" r:id="rId80" xr:uid="{77302FAF-A820-4643-981B-FBBFE49680EF}"/>
    <hyperlink ref="L139" r:id="rId81" xr:uid="{E603DEB4-5767-43B8-9E92-46DD50708D93}"/>
    <hyperlink ref="L66" r:id="rId82" xr:uid="{E9AD9E9D-0197-403E-9CB2-D6CE61804FFF}"/>
    <hyperlink ref="L48" r:id="rId83" xr:uid="{4CD541FA-0392-43A9-98CC-04B2676A42AB}"/>
    <hyperlink ref="L23" r:id="rId84" xr:uid="{D8097195-50CE-43A1-9D38-2EEB57A92ADE}"/>
    <hyperlink ref="L67" r:id="rId85" xr:uid="{226AA63D-9439-4893-A6C7-CD76CC2033FC}"/>
    <hyperlink ref="L73" r:id="rId86" xr:uid="{D187DA0A-11B5-49D4-8EFE-55E4F1E65CC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C436-7627-4EB5-A98E-C3127EF328ED}">
  <sheetPr>
    <pageSetUpPr fitToPage="1"/>
  </sheetPr>
  <dimension ref="A1:T74"/>
  <sheetViews>
    <sheetView showGridLines="0" workbookViewId="0">
      <pane xSplit="5" ySplit="5" topLeftCell="F6" activePane="bottomRight" state="frozen"/>
      <selection pane="bottomRight" activeCell="E21" sqref="E21"/>
      <selection pane="bottomLeft"/>
      <selection pane="topRight"/>
    </sheetView>
  </sheetViews>
  <sheetFormatPr defaultColWidth="9.28515625" defaultRowHeight="18.75" customHeight="1"/>
  <cols>
    <col min="1" max="1" width="6.42578125" style="261" customWidth="1"/>
    <col min="2" max="2" width="9.85546875" style="261" customWidth="1"/>
    <col min="3" max="3" width="26.42578125" style="261" customWidth="1"/>
    <col min="4" max="4" width="12.140625" style="261" customWidth="1"/>
    <col min="5" max="5" width="52" style="261" customWidth="1"/>
    <col min="6" max="6" width="37.140625" style="261" customWidth="1"/>
    <col min="7" max="9" width="12.42578125" style="335" customWidth="1"/>
    <col min="10" max="10" width="24.28515625" style="335" customWidth="1"/>
    <col min="11" max="17" width="13.28515625" style="335" customWidth="1"/>
    <col min="18" max="18" width="35.85546875" style="261" customWidth="1"/>
    <col min="19" max="19" width="9" style="261"/>
    <col min="20" max="20" width="10.28515625" style="261" bestFit="1" customWidth="1"/>
    <col min="21" max="16384" width="9.28515625" style="261"/>
  </cols>
  <sheetData>
    <row r="1" spans="1:18" ht="54.75" customHeight="1">
      <c r="A1" s="855"/>
      <c r="B1" s="856"/>
      <c r="C1" s="857" t="s">
        <v>241</v>
      </c>
      <c r="D1" s="857"/>
      <c r="E1" s="857"/>
      <c r="F1" s="857"/>
      <c r="G1" s="857"/>
      <c r="H1" s="258"/>
      <c r="I1" s="258"/>
      <c r="J1" s="258"/>
      <c r="K1" s="258"/>
      <c r="L1" s="258"/>
      <c r="M1" s="258"/>
      <c r="N1" s="258"/>
      <c r="O1" s="259"/>
      <c r="P1" s="259"/>
      <c r="Q1" s="260"/>
      <c r="R1" s="260"/>
    </row>
    <row r="2" spans="1:18" ht="33.75" customHeight="1">
      <c r="A2" s="422" t="s">
        <v>1689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4"/>
    </row>
    <row r="3" spans="1:18" ht="45.75" customHeight="1">
      <c r="A3" s="858" t="s">
        <v>85</v>
      </c>
      <c r="B3" s="858" t="s">
        <v>1052</v>
      </c>
      <c r="C3" s="858" t="s">
        <v>1053</v>
      </c>
      <c r="D3" s="858" t="s">
        <v>1054</v>
      </c>
      <c r="E3" s="858" t="s">
        <v>1055</v>
      </c>
      <c r="F3" s="860"/>
      <c r="G3" s="860"/>
      <c r="H3" s="860"/>
      <c r="I3" s="860"/>
      <c r="J3" s="861"/>
      <c r="K3" s="264"/>
      <c r="L3" s="265"/>
      <c r="M3" s="265"/>
      <c r="N3" s="265" t="s">
        <v>1690</v>
      </c>
      <c r="O3" s="265"/>
      <c r="P3" s="265"/>
      <c r="Q3" s="265"/>
      <c r="R3" s="265"/>
    </row>
    <row r="4" spans="1:18" ht="55.5" customHeight="1">
      <c r="A4" s="859"/>
      <c r="B4" s="859"/>
      <c r="C4" s="859"/>
      <c r="D4" s="859"/>
      <c r="E4" s="859"/>
      <c r="F4" s="266" t="s">
        <v>1691</v>
      </c>
      <c r="G4" s="266" t="s">
        <v>249</v>
      </c>
      <c r="H4" s="263" t="s">
        <v>77</v>
      </c>
      <c r="I4" s="262" t="s">
        <v>1692</v>
      </c>
      <c r="J4" s="267" t="s">
        <v>1693</v>
      </c>
      <c r="K4" s="268" t="s">
        <v>1694</v>
      </c>
      <c r="L4" s="268" t="s">
        <v>249</v>
      </c>
      <c r="M4" s="268" t="s">
        <v>77</v>
      </c>
      <c r="N4" s="268" t="s">
        <v>1692</v>
      </c>
      <c r="O4" s="268" t="s">
        <v>1693</v>
      </c>
      <c r="P4" s="268" t="s">
        <v>1695</v>
      </c>
      <c r="Q4" s="269" t="s">
        <v>1696</v>
      </c>
      <c r="R4" s="852" t="s">
        <v>104</v>
      </c>
    </row>
    <row r="5" spans="1:18" ht="25.5" customHeight="1">
      <c r="A5" s="270"/>
      <c r="B5" s="271"/>
      <c r="C5" s="271"/>
      <c r="D5" s="271"/>
      <c r="E5" s="271"/>
      <c r="F5" s="272"/>
      <c r="G5" s="272"/>
      <c r="H5" s="273"/>
      <c r="I5" s="273"/>
      <c r="J5" s="274"/>
      <c r="K5" s="275"/>
      <c r="L5" s="275">
        <f t="shared" ref="L5:Q5" si="0">SUM(L7:L71)</f>
        <v>0</v>
      </c>
      <c r="M5" s="275">
        <f t="shared" si="0"/>
        <v>8</v>
      </c>
      <c r="N5" s="275">
        <f t="shared" si="0"/>
        <v>11</v>
      </c>
      <c r="O5" s="275">
        <f t="shared" si="0"/>
        <v>18</v>
      </c>
      <c r="P5" s="275">
        <f t="shared" si="0"/>
        <v>12</v>
      </c>
      <c r="Q5" s="276">
        <f t="shared" si="0"/>
        <v>20</v>
      </c>
      <c r="R5" s="853"/>
    </row>
    <row r="6" spans="1:18" ht="34.5" customHeight="1">
      <c r="A6" s="277" t="s">
        <v>1089</v>
      </c>
      <c r="B6" s="278"/>
      <c r="C6" s="278"/>
      <c r="D6" s="278"/>
      <c r="E6" s="278"/>
      <c r="F6" s="278"/>
      <c r="G6" s="279"/>
      <c r="H6" s="279"/>
      <c r="I6" s="279"/>
      <c r="J6" s="279"/>
      <c r="K6" s="279"/>
      <c r="L6" s="279"/>
      <c r="M6" s="279"/>
      <c r="N6" s="279"/>
      <c r="O6" s="279"/>
      <c r="P6" s="280"/>
      <c r="Q6" s="280"/>
      <c r="R6" s="279"/>
    </row>
    <row r="7" spans="1:18" ht="60" customHeight="1">
      <c r="A7" s="124">
        <f>IF(B7="","",SUBTOTAL(3,$B7:B$7))</f>
        <v>1</v>
      </c>
      <c r="B7" s="281">
        <v>10001</v>
      </c>
      <c r="C7" s="282" t="s">
        <v>1013</v>
      </c>
      <c r="D7" s="282" t="s">
        <v>1237</v>
      </c>
      <c r="E7" s="283" t="s">
        <v>663</v>
      </c>
      <c r="F7" s="284" t="s">
        <v>1697</v>
      </c>
      <c r="G7" s="285"/>
      <c r="H7" s="285"/>
      <c r="I7" s="285">
        <v>1</v>
      </c>
      <c r="J7" s="286" t="s">
        <v>1698</v>
      </c>
      <c r="K7" s="337" t="s">
        <v>1102</v>
      </c>
      <c r="L7" s="287"/>
      <c r="M7" s="287"/>
      <c r="N7" s="287"/>
      <c r="O7" s="287"/>
      <c r="P7" s="287"/>
      <c r="Q7" s="287"/>
      <c r="R7" s="288"/>
    </row>
    <row r="8" spans="1:18" ht="34.5" customHeight="1">
      <c r="A8" s="277" t="s">
        <v>1100</v>
      </c>
      <c r="B8" s="278"/>
      <c r="C8" s="278"/>
      <c r="D8" s="278"/>
      <c r="E8" s="278"/>
      <c r="F8" s="278"/>
      <c r="G8" s="279"/>
      <c r="H8" s="279"/>
      <c r="I8" s="279"/>
      <c r="J8" s="279"/>
      <c r="K8" s="279"/>
      <c r="L8" s="279"/>
      <c r="M8" s="279"/>
      <c r="N8" s="279"/>
      <c r="O8" s="280"/>
      <c r="P8" s="280"/>
      <c r="Q8" s="280"/>
      <c r="R8" s="279"/>
    </row>
    <row r="9" spans="1:18" ht="34.5" customHeight="1">
      <c r="A9" s="124">
        <f>IF(B9="","",SUBTOTAL(3,$B$7:B9))</f>
        <v>2</v>
      </c>
      <c r="B9" s="289">
        <v>16001</v>
      </c>
      <c r="C9" s="290" t="s">
        <v>1257</v>
      </c>
      <c r="D9" s="290" t="s">
        <v>1237</v>
      </c>
      <c r="E9" s="291" t="s">
        <v>667</v>
      </c>
      <c r="F9" s="291" t="s">
        <v>1699</v>
      </c>
      <c r="G9" s="292"/>
      <c r="H9" s="292"/>
      <c r="I9" s="292"/>
      <c r="J9" s="293" t="s">
        <v>1698</v>
      </c>
      <c r="K9" s="294" t="s">
        <v>1098</v>
      </c>
      <c r="L9" s="294"/>
      <c r="M9" s="294"/>
      <c r="N9" s="295">
        <v>1</v>
      </c>
      <c r="O9" s="295">
        <v>1</v>
      </c>
      <c r="P9" s="294"/>
      <c r="Q9" s="294"/>
      <c r="R9" s="288"/>
    </row>
    <row r="10" spans="1:18" ht="34.5" customHeight="1">
      <c r="A10" s="124">
        <f>IF(B10="","",SUBTOTAL(3,$B$7:B10))</f>
        <v>3</v>
      </c>
      <c r="B10" s="289">
        <v>23006</v>
      </c>
      <c r="C10" s="290" t="s">
        <v>1264</v>
      </c>
      <c r="D10" s="290" t="s">
        <v>1237</v>
      </c>
      <c r="E10" s="291" t="s">
        <v>667</v>
      </c>
      <c r="F10" s="291" t="s">
        <v>1700</v>
      </c>
      <c r="G10" s="292"/>
      <c r="H10" s="292"/>
      <c r="I10" s="292"/>
      <c r="J10" s="296" t="s">
        <v>1701</v>
      </c>
      <c r="K10" s="294" t="s">
        <v>1098</v>
      </c>
      <c r="L10" s="294"/>
      <c r="M10" s="294"/>
      <c r="N10" s="295">
        <v>1</v>
      </c>
      <c r="O10" s="295">
        <v>1</v>
      </c>
      <c r="P10" s="294"/>
      <c r="Q10" s="294"/>
      <c r="R10" s="288"/>
    </row>
    <row r="11" spans="1:18" ht="34.5" customHeight="1">
      <c r="A11" s="124">
        <f>IF(B11="","",SUBTOTAL(3,$B$7:B11))</f>
        <v>4</v>
      </c>
      <c r="B11" s="289">
        <v>23007</v>
      </c>
      <c r="C11" s="290" t="s">
        <v>1271</v>
      </c>
      <c r="D11" s="290" t="s">
        <v>1237</v>
      </c>
      <c r="E11" s="291" t="s">
        <v>667</v>
      </c>
      <c r="F11" s="291" t="s">
        <v>1702</v>
      </c>
      <c r="G11" s="292">
        <v>1</v>
      </c>
      <c r="H11" s="292"/>
      <c r="I11" s="292"/>
      <c r="J11" s="297" t="s">
        <v>1703</v>
      </c>
      <c r="K11" s="294" t="s">
        <v>1098</v>
      </c>
      <c r="L11" s="294"/>
      <c r="M11" s="294"/>
      <c r="N11" s="295">
        <v>1</v>
      </c>
      <c r="O11" s="295">
        <v>1</v>
      </c>
      <c r="P11" s="295">
        <v>1</v>
      </c>
      <c r="Q11" s="294"/>
      <c r="R11" s="288"/>
    </row>
    <row r="12" spans="1:18" ht="34.5" customHeight="1">
      <c r="A12" s="277" t="s">
        <v>1109</v>
      </c>
      <c r="B12" s="278"/>
      <c r="C12" s="278"/>
      <c r="D12" s="278"/>
      <c r="E12" s="278"/>
      <c r="F12" s="278"/>
      <c r="G12" s="279"/>
      <c r="H12" s="279"/>
      <c r="I12" s="279"/>
      <c r="J12" s="279"/>
      <c r="K12" s="279"/>
      <c r="L12" s="279"/>
      <c r="M12" s="279"/>
      <c r="N12" s="279"/>
      <c r="O12" s="280"/>
      <c r="P12" s="280"/>
      <c r="Q12" s="280"/>
      <c r="R12" s="279"/>
    </row>
    <row r="13" spans="1:18" ht="34.5" customHeight="1">
      <c r="A13" s="124">
        <f>IF(B13="","",SUBTOTAL(3,$B$7:B13))</f>
        <v>5</v>
      </c>
      <c r="B13" s="289">
        <v>20001</v>
      </c>
      <c r="C13" s="290" t="s">
        <v>117</v>
      </c>
      <c r="D13" s="290" t="s">
        <v>1237</v>
      </c>
      <c r="E13" s="291" t="s">
        <v>118</v>
      </c>
      <c r="F13" s="291" t="s">
        <v>1704</v>
      </c>
      <c r="G13" s="292">
        <v>1</v>
      </c>
      <c r="H13" s="292">
        <v>1</v>
      </c>
      <c r="I13" s="292"/>
      <c r="J13" s="292">
        <v>1</v>
      </c>
      <c r="K13" s="294" t="s">
        <v>1110</v>
      </c>
      <c r="L13" s="294"/>
      <c r="M13" s="294"/>
      <c r="N13" s="294"/>
      <c r="O13" s="294"/>
      <c r="P13" s="294"/>
      <c r="Q13" s="295">
        <v>1</v>
      </c>
      <c r="R13" s="288"/>
    </row>
    <row r="14" spans="1:18" ht="36.75" customHeight="1">
      <c r="A14" s="124">
        <f>IF(B14="","",SUBTOTAL(3,$B$7:B14))</f>
        <v>6</v>
      </c>
      <c r="B14" s="289">
        <v>21001</v>
      </c>
      <c r="C14" s="290" t="s">
        <v>723</v>
      </c>
      <c r="D14" s="290" t="s">
        <v>1237</v>
      </c>
      <c r="E14" s="291" t="s">
        <v>118</v>
      </c>
      <c r="F14" s="291" t="s">
        <v>1704</v>
      </c>
      <c r="G14" s="292">
        <v>1</v>
      </c>
      <c r="H14" s="292">
        <v>1</v>
      </c>
      <c r="I14" s="292"/>
      <c r="J14" s="292">
        <v>1</v>
      </c>
      <c r="K14" s="294" t="s">
        <v>1110</v>
      </c>
      <c r="L14" s="294"/>
      <c r="M14" s="294"/>
      <c r="N14" s="294"/>
      <c r="O14" s="294"/>
      <c r="P14" s="294"/>
      <c r="Q14" s="295">
        <v>1</v>
      </c>
      <c r="R14" s="288"/>
    </row>
    <row r="15" spans="1:18" ht="36.75" customHeight="1">
      <c r="A15" s="124">
        <f>IF(B15="","",SUBTOTAL(3,$B$7:B15))</f>
        <v>7</v>
      </c>
      <c r="B15" s="289">
        <v>21002</v>
      </c>
      <c r="C15" s="290" t="s">
        <v>724</v>
      </c>
      <c r="D15" s="290" t="s">
        <v>1237</v>
      </c>
      <c r="E15" s="298" t="s">
        <v>118</v>
      </c>
      <c r="F15" s="291" t="s">
        <v>1704</v>
      </c>
      <c r="G15" s="292">
        <v>1</v>
      </c>
      <c r="H15" s="292">
        <v>1</v>
      </c>
      <c r="I15" s="292"/>
      <c r="J15" s="292">
        <v>1</v>
      </c>
      <c r="K15" s="294" t="s">
        <v>1110</v>
      </c>
      <c r="L15" s="299"/>
      <c r="M15" s="299"/>
      <c r="N15" s="299"/>
      <c r="O15" s="294"/>
      <c r="P15" s="299"/>
      <c r="Q15" s="295">
        <v>1</v>
      </c>
      <c r="R15" s="288"/>
    </row>
    <row r="16" spans="1:18" s="301" customFormat="1" ht="36" customHeight="1">
      <c r="A16" s="124">
        <f>IF(B16="","",SUBTOTAL(3,$B$7:B16))</f>
        <v>8</v>
      </c>
      <c r="B16" s="289">
        <v>23001</v>
      </c>
      <c r="C16" s="290" t="s">
        <v>234</v>
      </c>
      <c r="D16" s="290" t="s">
        <v>1237</v>
      </c>
      <c r="E16" s="298" t="s">
        <v>118</v>
      </c>
      <c r="F16" s="291" t="s">
        <v>1704</v>
      </c>
      <c r="G16" s="292">
        <v>1</v>
      </c>
      <c r="H16" s="292">
        <v>1</v>
      </c>
      <c r="I16" s="292"/>
      <c r="J16" s="292">
        <v>1</v>
      </c>
      <c r="K16" s="294" t="s">
        <v>1110</v>
      </c>
      <c r="L16" s="299"/>
      <c r="M16" s="299"/>
      <c r="N16" s="299"/>
      <c r="O16" s="294"/>
      <c r="P16" s="299"/>
      <c r="Q16" s="295">
        <v>1</v>
      </c>
      <c r="R16" s="300"/>
    </row>
    <row r="17" spans="1:20" ht="30" customHeight="1">
      <c r="A17" s="124">
        <f>IF(B17="","",SUBTOTAL(3,$B$7:B17))</f>
        <v>9</v>
      </c>
      <c r="B17" s="289">
        <v>23002</v>
      </c>
      <c r="C17" s="290" t="s">
        <v>726</v>
      </c>
      <c r="D17" s="290" t="s">
        <v>1237</v>
      </c>
      <c r="E17" s="298" t="s">
        <v>118</v>
      </c>
      <c r="F17" s="291" t="s">
        <v>1704</v>
      </c>
      <c r="G17" s="292">
        <v>1</v>
      </c>
      <c r="H17" s="292">
        <v>1</v>
      </c>
      <c r="I17" s="292"/>
      <c r="J17" s="292">
        <v>1</v>
      </c>
      <c r="K17" s="294" t="s">
        <v>1110</v>
      </c>
      <c r="L17" s="299"/>
      <c r="M17" s="299"/>
      <c r="N17" s="299"/>
      <c r="O17" s="294"/>
      <c r="P17" s="299"/>
      <c r="Q17" s="295">
        <v>1</v>
      </c>
      <c r="R17" s="288"/>
    </row>
    <row r="18" spans="1:20" ht="30" customHeight="1">
      <c r="A18" s="124">
        <f>IF(B18="","",SUBTOTAL(3,$B$7:B18))</f>
        <v>10</v>
      </c>
      <c r="B18" s="289">
        <v>24006</v>
      </c>
      <c r="C18" s="290" t="s">
        <v>727</v>
      </c>
      <c r="D18" s="290" t="s">
        <v>1237</v>
      </c>
      <c r="E18" s="298" t="s">
        <v>118</v>
      </c>
      <c r="F18" s="291" t="s">
        <v>1704</v>
      </c>
      <c r="G18" s="292">
        <v>1</v>
      </c>
      <c r="H18" s="292">
        <v>1</v>
      </c>
      <c r="I18" s="292"/>
      <c r="J18" s="292">
        <v>1</v>
      </c>
      <c r="K18" s="294" t="s">
        <v>1110</v>
      </c>
      <c r="L18" s="299"/>
      <c r="M18" s="299"/>
      <c r="N18" s="299"/>
      <c r="O18" s="294"/>
      <c r="P18" s="299"/>
      <c r="Q18" s="295">
        <v>1</v>
      </c>
      <c r="R18" s="288"/>
    </row>
    <row r="19" spans="1:20" ht="30" customHeight="1">
      <c r="A19" s="124">
        <f>IF(B19="","",SUBTOTAL(3,$B$7:B19))</f>
        <v>11</v>
      </c>
      <c r="B19" s="289">
        <v>24009</v>
      </c>
      <c r="C19" s="290" t="s">
        <v>231</v>
      </c>
      <c r="D19" s="290" t="s">
        <v>1237</v>
      </c>
      <c r="E19" s="290" t="s">
        <v>118</v>
      </c>
      <c r="F19" s="291" t="s">
        <v>1704</v>
      </c>
      <c r="G19" s="292">
        <v>1</v>
      </c>
      <c r="H19" s="292">
        <v>1</v>
      </c>
      <c r="I19" s="292"/>
      <c r="J19" s="292">
        <v>1</v>
      </c>
      <c r="K19" s="294" t="s">
        <v>1110</v>
      </c>
      <c r="L19" s="302"/>
      <c r="M19" s="302"/>
      <c r="N19" s="302"/>
      <c r="O19" s="294"/>
      <c r="P19" s="302"/>
      <c r="Q19" s="295">
        <v>1</v>
      </c>
      <c r="R19" s="288"/>
    </row>
    <row r="20" spans="1:20" ht="30" customHeight="1">
      <c r="A20" s="124">
        <f>IF(B20="","",SUBTOTAL(3,$B$7:B20))</f>
        <v>12</v>
      </c>
      <c r="B20" s="289">
        <v>26003</v>
      </c>
      <c r="C20" s="290" t="s">
        <v>240</v>
      </c>
      <c r="D20" s="290" t="s">
        <v>1237</v>
      </c>
      <c r="E20" s="290" t="s">
        <v>118</v>
      </c>
      <c r="F20" s="291" t="s">
        <v>1704</v>
      </c>
      <c r="G20" s="292">
        <v>1</v>
      </c>
      <c r="H20" s="292">
        <v>1</v>
      </c>
      <c r="I20" s="292"/>
      <c r="J20" s="292">
        <v>1</v>
      </c>
      <c r="K20" s="294" t="s">
        <v>1110</v>
      </c>
      <c r="L20" s="302"/>
      <c r="M20" s="302"/>
      <c r="N20" s="302"/>
      <c r="O20" s="294"/>
      <c r="P20" s="302"/>
      <c r="Q20" s="295">
        <v>1</v>
      </c>
      <c r="R20" s="288"/>
    </row>
    <row r="21" spans="1:20" ht="30" customHeight="1">
      <c r="A21" s="124" t="str">
        <f>IF(B21="","",SUBTOTAL(3,$B$7:B21))</f>
        <v/>
      </c>
      <c r="B21" s="289"/>
      <c r="C21" s="290"/>
      <c r="D21" s="303" t="s">
        <v>1705</v>
      </c>
      <c r="E21" s="304"/>
      <c r="F21" s="291" t="s">
        <v>1704</v>
      </c>
      <c r="G21" s="292">
        <v>1</v>
      </c>
      <c r="H21" s="292">
        <v>1</v>
      </c>
      <c r="I21" s="292"/>
      <c r="J21" s="292">
        <v>1</v>
      </c>
      <c r="K21" s="336"/>
      <c r="L21" s="302"/>
      <c r="M21" s="302"/>
      <c r="N21" s="302"/>
      <c r="O21" s="294"/>
      <c r="P21" s="302"/>
      <c r="Q21" s="295">
        <v>1</v>
      </c>
      <c r="R21" s="288"/>
    </row>
    <row r="22" spans="1:20" ht="26.25" customHeight="1">
      <c r="A22" s="277" t="s">
        <v>405</v>
      </c>
      <c r="B22" s="278"/>
      <c r="C22" s="278"/>
      <c r="D22" s="278"/>
      <c r="E22" s="278"/>
      <c r="F22" s="278"/>
      <c r="G22" s="279"/>
      <c r="H22" s="279"/>
      <c r="I22" s="279"/>
      <c r="J22" s="279"/>
      <c r="K22" s="279"/>
      <c r="L22" s="279"/>
      <c r="M22" s="279"/>
      <c r="N22" s="279"/>
      <c r="O22" s="279"/>
      <c r="P22" s="280"/>
      <c r="Q22" s="280"/>
      <c r="R22" s="280"/>
      <c r="T22" s="305"/>
    </row>
    <row r="23" spans="1:20" ht="26.25" customHeight="1">
      <c r="A23" s="124">
        <f>IF(B23="","",SUBTOTAL(3,$B$7:B23))</f>
        <v>13</v>
      </c>
      <c r="B23" s="306">
        <v>24001</v>
      </c>
      <c r="C23" s="307" t="s">
        <v>720</v>
      </c>
      <c r="D23" s="290" t="s">
        <v>1237</v>
      </c>
      <c r="E23" s="298" t="s">
        <v>136</v>
      </c>
      <c r="F23" s="291" t="s">
        <v>1704</v>
      </c>
      <c r="G23" s="292">
        <v>1</v>
      </c>
      <c r="H23" s="292">
        <v>1</v>
      </c>
      <c r="I23" s="292"/>
      <c r="J23" s="292">
        <v>1</v>
      </c>
      <c r="K23" s="294" t="s">
        <v>1110</v>
      </c>
      <c r="L23" s="299"/>
      <c r="M23" s="299"/>
      <c r="N23" s="299"/>
      <c r="O23" s="294"/>
      <c r="P23" s="294"/>
      <c r="Q23" s="295">
        <v>1</v>
      </c>
      <c r="R23" s="288"/>
      <c r="T23" s="305"/>
    </row>
    <row r="24" spans="1:20" ht="26.25" customHeight="1">
      <c r="A24" s="124">
        <f>IF(B24="","",SUBTOTAL(3,$B$7:B24))</f>
        <v>14</v>
      </c>
      <c r="B24" s="306">
        <v>22001</v>
      </c>
      <c r="C24" s="307" t="s">
        <v>135</v>
      </c>
      <c r="D24" s="290" t="s">
        <v>1237</v>
      </c>
      <c r="E24" s="298" t="s">
        <v>136</v>
      </c>
      <c r="F24" s="291" t="s">
        <v>1704</v>
      </c>
      <c r="G24" s="292">
        <v>1</v>
      </c>
      <c r="H24" s="292">
        <v>1</v>
      </c>
      <c r="I24" s="292"/>
      <c r="J24" s="292">
        <v>1</v>
      </c>
      <c r="K24" s="294" t="s">
        <v>1110</v>
      </c>
      <c r="L24" s="299"/>
      <c r="M24" s="299"/>
      <c r="N24" s="299"/>
      <c r="O24" s="294"/>
      <c r="P24" s="294"/>
      <c r="Q24" s="295">
        <v>1</v>
      </c>
      <c r="R24" s="288"/>
      <c r="T24" s="305"/>
    </row>
    <row r="25" spans="1:20" ht="26.25" customHeight="1">
      <c r="A25" s="124">
        <f>IF(B25="","",SUBTOTAL(3,$B$7:B25))</f>
        <v>15</v>
      </c>
      <c r="B25" s="306">
        <v>23008</v>
      </c>
      <c r="C25" s="307" t="s">
        <v>718</v>
      </c>
      <c r="D25" s="290" t="s">
        <v>1237</v>
      </c>
      <c r="E25" s="298" t="s">
        <v>136</v>
      </c>
      <c r="F25" s="291" t="s">
        <v>1704</v>
      </c>
      <c r="G25" s="292">
        <v>1</v>
      </c>
      <c r="H25" s="292">
        <v>1</v>
      </c>
      <c r="I25" s="292"/>
      <c r="J25" s="292">
        <v>1</v>
      </c>
      <c r="K25" s="294" t="s">
        <v>1110</v>
      </c>
      <c r="L25" s="299"/>
      <c r="M25" s="299"/>
      <c r="N25" s="299"/>
      <c r="O25" s="294"/>
      <c r="P25" s="294"/>
      <c r="Q25" s="294"/>
      <c r="R25" s="288"/>
      <c r="T25" s="305"/>
    </row>
    <row r="26" spans="1:20" ht="26.25" customHeight="1">
      <c r="A26" s="124">
        <f>IF(B26="","",SUBTOTAL(3,$B$7:B26))</f>
        <v>16</v>
      </c>
      <c r="B26" s="306">
        <v>25012</v>
      </c>
      <c r="C26" s="307" t="s">
        <v>1332</v>
      </c>
      <c r="D26" s="290" t="s">
        <v>1237</v>
      </c>
      <c r="E26" s="298" t="s">
        <v>136</v>
      </c>
      <c r="F26" s="291" t="s">
        <v>1704</v>
      </c>
      <c r="G26" s="292">
        <v>1</v>
      </c>
      <c r="H26" s="292">
        <v>1</v>
      </c>
      <c r="I26" s="292"/>
      <c r="J26" s="292">
        <v>1</v>
      </c>
      <c r="K26" s="294" t="s">
        <v>1110</v>
      </c>
      <c r="L26" s="299"/>
      <c r="M26" s="299"/>
      <c r="N26" s="299"/>
      <c r="O26" s="294"/>
      <c r="P26" s="294"/>
      <c r="Q26" s="294"/>
      <c r="R26" s="288"/>
    </row>
    <row r="27" spans="1:20" ht="26.25" customHeight="1">
      <c r="A27" s="124">
        <f>IF(B27="","",SUBTOTAL(3,$B$7:B27))</f>
        <v>17</v>
      </c>
      <c r="B27" s="306">
        <v>25028</v>
      </c>
      <c r="C27" s="307" t="s">
        <v>709</v>
      </c>
      <c r="D27" s="290" t="s">
        <v>1237</v>
      </c>
      <c r="E27" s="308" t="s">
        <v>136</v>
      </c>
      <c r="F27" s="291" t="s">
        <v>1704</v>
      </c>
      <c r="G27" s="292">
        <v>1</v>
      </c>
      <c r="H27" s="292">
        <v>1</v>
      </c>
      <c r="I27" s="292"/>
      <c r="J27" s="292">
        <v>1</v>
      </c>
      <c r="K27" s="294" t="s">
        <v>1110</v>
      </c>
      <c r="L27" s="299"/>
      <c r="M27" s="299"/>
      <c r="N27" s="299"/>
      <c r="O27" s="294"/>
      <c r="P27" s="295">
        <v>1</v>
      </c>
      <c r="Q27" s="294"/>
      <c r="R27" s="288"/>
    </row>
    <row r="28" spans="1:20" ht="26.25" customHeight="1">
      <c r="A28" s="124">
        <f>IF(B28="","",SUBTOTAL(3,$B$7:B28))</f>
        <v>18</v>
      </c>
      <c r="B28" s="306">
        <v>25030</v>
      </c>
      <c r="C28" s="307" t="s">
        <v>1341</v>
      </c>
      <c r="D28" s="290" t="s">
        <v>1237</v>
      </c>
      <c r="E28" s="309" t="s">
        <v>136</v>
      </c>
      <c r="F28" s="291" t="s">
        <v>1704</v>
      </c>
      <c r="G28" s="292">
        <v>1</v>
      </c>
      <c r="H28" s="292">
        <v>1</v>
      </c>
      <c r="I28" s="292"/>
      <c r="J28" s="292">
        <v>1</v>
      </c>
      <c r="K28" s="294" t="s">
        <v>1110</v>
      </c>
      <c r="L28" s="299"/>
      <c r="M28" s="299"/>
      <c r="N28" s="299"/>
      <c r="O28" s="294"/>
      <c r="P28" s="294"/>
      <c r="Q28" s="294"/>
      <c r="R28" s="288"/>
    </row>
    <row r="29" spans="1:20" ht="26.25" customHeight="1">
      <c r="A29" s="124">
        <f>IF(B29="","",SUBTOTAL(3,$B$7:B29))</f>
        <v>19</v>
      </c>
      <c r="B29" s="306">
        <v>26006</v>
      </c>
      <c r="C29" s="307" t="s">
        <v>1345</v>
      </c>
      <c r="D29" s="310" t="s">
        <v>1346</v>
      </c>
      <c r="E29" s="309" t="s">
        <v>136</v>
      </c>
      <c r="F29" s="291" t="s">
        <v>1101</v>
      </c>
      <c r="G29" s="292"/>
      <c r="H29" s="285"/>
      <c r="I29" s="285"/>
      <c r="J29" s="296" t="s">
        <v>1701</v>
      </c>
      <c r="K29" s="336" t="s">
        <v>1110</v>
      </c>
      <c r="L29" s="311"/>
      <c r="M29" s="311"/>
      <c r="N29" s="311"/>
      <c r="O29" s="294"/>
      <c r="P29" s="294"/>
      <c r="Q29" s="294"/>
      <c r="R29" s="288"/>
    </row>
    <row r="30" spans="1:20" ht="26.25" customHeight="1">
      <c r="A30" s="277" t="s">
        <v>1121</v>
      </c>
      <c r="B30" s="278"/>
      <c r="C30" s="278"/>
      <c r="D30" s="278"/>
      <c r="E30" s="278"/>
      <c r="F30" s="278"/>
      <c r="G30" s="279"/>
      <c r="H30" s="279"/>
      <c r="I30" s="279"/>
      <c r="J30" s="279"/>
      <c r="K30" s="279"/>
      <c r="L30" s="279"/>
      <c r="M30" s="279"/>
      <c r="N30" s="279"/>
      <c r="O30" s="279"/>
      <c r="P30" s="280"/>
      <c r="Q30" s="280"/>
      <c r="R30" s="279"/>
    </row>
    <row r="31" spans="1:20" ht="26.25" customHeight="1">
      <c r="A31" s="124">
        <f>IF(B31="","",SUBTOTAL(3,$B$7:B31))</f>
        <v>20</v>
      </c>
      <c r="B31" s="289">
        <v>20003</v>
      </c>
      <c r="C31" s="290" t="s">
        <v>632</v>
      </c>
      <c r="D31" s="290" t="s">
        <v>1237</v>
      </c>
      <c r="E31" s="298" t="s">
        <v>673</v>
      </c>
      <c r="F31" s="284" t="s">
        <v>1697</v>
      </c>
      <c r="G31" s="292"/>
      <c r="H31" s="292"/>
      <c r="I31" s="292">
        <v>1</v>
      </c>
      <c r="J31" s="286" t="s">
        <v>1698</v>
      </c>
      <c r="K31" s="294" t="s">
        <v>1110</v>
      </c>
      <c r="L31" s="299"/>
      <c r="M31" s="299"/>
      <c r="N31" s="299"/>
      <c r="O31" s="312"/>
      <c r="P31" s="299"/>
      <c r="Q31" s="295">
        <v>1</v>
      </c>
      <c r="R31" s="288" t="s">
        <v>1706</v>
      </c>
    </row>
    <row r="32" spans="1:20" ht="26.25" customHeight="1">
      <c r="A32" s="124">
        <f>IF(B32="","",SUBTOTAL(3,$B$7:B32))</f>
        <v>21</v>
      </c>
      <c r="B32" s="289">
        <v>21003</v>
      </c>
      <c r="C32" s="290" t="s">
        <v>161</v>
      </c>
      <c r="D32" s="290" t="s">
        <v>1237</v>
      </c>
      <c r="E32" s="298" t="s">
        <v>673</v>
      </c>
      <c r="F32" s="291" t="s">
        <v>1700</v>
      </c>
      <c r="G32" s="292"/>
      <c r="H32" s="292"/>
      <c r="I32" s="292"/>
      <c r="J32" s="296" t="s">
        <v>1707</v>
      </c>
      <c r="K32" s="294" t="s">
        <v>1110</v>
      </c>
      <c r="L32" s="299"/>
      <c r="M32" s="299"/>
      <c r="N32" s="313">
        <v>1</v>
      </c>
      <c r="O32" s="313">
        <v>1</v>
      </c>
      <c r="P32" s="299"/>
      <c r="Q32" s="295">
        <v>1</v>
      </c>
      <c r="R32" s="288"/>
    </row>
    <row r="33" spans="1:18" ht="26.25" customHeight="1">
      <c r="A33" s="124">
        <f>IF(B33="","",SUBTOTAL(3,$B$7:B33))</f>
        <v>22</v>
      </c>
      <c r="B33" s="289">
        <v>24003</v>
      </c>
      <c r="C33" s="290" t="s">
        <v>1365</v>
      </c>
      <c r="D33" s="290" t="s">
        <v>1237</v>
      </c>
      <c r="E33" s="298" t="s">
        <v>673</v>
      </c>
      <c r="F33" s="291" t="s">
        <v>1704</v>
      </c>
      <c r="G33" s="292">
        <v>1</v>
      </c>
      <c r="H33" s="292">
        <v>1</v>
      </c>
      <c r="I33" s="292"/>
      <c r="J33" s="292">
        <v>1</v>
      </c>
      <c r="K33" s="294" t="s">
        <v>1110</v>
      </c>
      <c r="L33" s="299"/>
      <c r="M33" s="299"/>
      <c r="N33" s="299"/>
      <c r="O33" s="314"/>
      <c r="P33" s="315">
        <v>1</v>
      </c>
      <c r="Q33" s="294"/>
      <c r="R33" s="288"/>
    </row>
    <row r="34" spans="1:18" ht="26.25" customHeight="1">
      <c r="A34" s="124">
        <f>IF(B34="","",SUBTOTAL(3,$B$7:B34))</f>
        <v>23</v>
      </c>
      <c r="B34" s="289">
        <v>24005</v>
      </c>
      <c r="C34" s="290" t="s">
        <v>1370</v>
      </c>
      <c r="D34" s="290" t="s">
        <v>1237</v>
      </c>
      <c r="E34" s="298" t="s">
        <v>673</v>
      </c>
      <c r="F34" s="291" t="s">
        <v>1700</v>
      </c>
      <c r="G34" s="292"/>
      <c r="H34" s="292"/>
      <c r="I34" s="292"/>
      <c r="J34" s="296" t="s">
        <v>1707</v>
      </c>
      <c r="K34" s="294" t="s">
        <v>1110</v>
      </c>
      <c r="L34" s="299"/>
      <c r="M34" s="299"/>
      <c r="N34" s="313">
        <v>1</v>
      </c>
      <c r="O34" s="313">
        <v>1</v>
      </c>
      <c r="P34" s="299"/>
      <c r="Q34" s="294"/>
      <c r="R34" s="288"/>
    </row>
    <row r="35" spans="1:18" ht="26.25" customHeight="1">
      <c r="A35" s="124">
        <f>IF(B35="","",SUBTOTAL(3,$B$7:B35))</f>
        <v>24</v>
      </c>
      <c r="B35" s="289">
        <v>25025</v>
      </c>
      <c r="C35" s="307" t="s">
        <v>715</v>
      </c>
      <c r="D35" s="290" t="s">
        <v>1237</v>
      </c>
      <c r="E35" s="298" t="s">
        <v>673</v>
      </c>
      <c r="F35" s="291" t="s">
        <v>1704</v>
      </c>
      <c r="G35" s="292">
        <v>1</v>
      </c>
      <c r="H35" s="292">
        <v>1</v>
      </c>
      <c r="I35" s="292"/>
      <c r="J35" s="292">
        <v>1</v>
      </c>
      <c r="K35" s="294" t="s">
        <v>1110</v>
      </c>
      <c r="L35" s="299"/>
      <c r="M35" s="299"/>
      <c r="N35" s="299"/>
      <c r="O35" s="314"/>
      <c r="P35" s="299"/>
      <c r="Q35" s="294"/>
      <c r="R35" s="288"/>
    </row>
    <row r="36" spans="1:18" ht="26.25" customHeight="1">
      <c r="A36" s="124">
        <f>IF(B36="","",SUBTOTAL(3,$B$7:B36))</f>
        <v>25</v>
      </c>
      <c r="B36" s="289">
        <v>25042</v>
      </c>
      <c r="C36" s="307" t="s">
        <v>657</v>
      </c>
      <c r="D36" s="290" t="s">
        <v>1237</v>
      </c>
      <c r="E36" s="298" t="s">
        <v>673</v>
      </c>
      <c r="F36" s="284" t="s">
        <v>1697</v>
      </c>
      <c r="G36" s="292"/>
      <c r="H36" s="292"/>
      <c r="I36" s="292">
        <v>1</v>
      </c>
      <c r="J36" s="286" t="s">
        <v>1698</v>
      </c>
      <c r="K36" s="294" t="s">
        <v>1110</v>
      </c>
      <c r="L36" s="299"/>
      <c r="M36" s="299"/>
      <c r="N36" s="313">
        <v>1</v>
      </c>
      <c r="O36" s="313">
        <v>1</v>
      </c>
      <c r="P36" s="299"/>
      <c r="Q36" s="294"/>
      <c r="R36" s="288"/>
    </row>
    <row r="37" spans="1:18" ht="26.25" customHeight="1">
      <c r="A37" s="124">
        <f>IF(B37="","",SUBTOTAL(3,$B$7:B37))</f>
        <v>26</v>
      </c>
      <c r="B37" s="289">
        <v>26001</v>
      </c>
      <c r="C37" s="307" t="s">
        <v>1377</v>
      </c>
      <c r="D37" s="290" t="s">
        <v>1237</v>
      </c>
      <c r="E37" s="298" t="s">
        <v>673</v>
      </c>
      <c r="F37" s="291" t="s">
        <v>1704</v>
      </c>
      <c r="G37" s="292">
        <v>1</v>
      </c>
      <c r="H37" s="292">
        <v>1</v>
      </c>
      <c r="I37" s="292"/>
      <c r="J37" s="292">
        <v>1</v>
      </c>
      <c r="K37" s="294" t="s">
        <v>1110</v>
      </c>
      <c r="L37" s="299"/>
      <c r="M37" s="299"/>
      <c r="N37" s="299"/>
      <c r="O37" s="314"/>
      <c r="P37" s="299"/>
      <c r="Q37" s="294"/>
      <c r="R37" s="288"/>
    </row>
    <row r="38" spans="1:18" ht="26.25" customHeight="1">
      <c r="A38" s="124">
        <f>IF(B38="","",SUBTOTAL(3,$B$7:B38))</f>
        <v>27</v>
      </c>
      <c r="B38" s="306">
        <v>26005</v>
      </c>
      <c r="C38" s="307" t="s">
        <v>1383</v>
      </c>
      <c r="D38" s="316" t="s">
        <v>1318</v>
      </c>
      <c r="E38" s="298" t="s">
        <v>673</v>
      </c>
      <c r="F38" s="291" t="s">
        <v>1700</v>
      </c>
      <c r="G38" s="292"/>
      <c r="H38" s="292"/>
      <c r="I38" s="292"/>
      <c r="J38" s="296" t="s">
        <v>1707</v>
      </c>
      <c r="K38" s="294" t="s">
        <v>1110</v>
      </c>
      <c r="L38" s="299"/>
      <c r="M38" s="299"/>
      <c r="N38" s="299"/>
      <c r="O38" s="314"/>
      <c r="P38" s="299"/>
      <c r="Q38" s="294"/>
      <c r="R38" s="288"/>
    </row>
    <row r="39" spans="1:18" ht="26.25" customHeight="1">
      <c r="A39" s="277" t="s">
        <v>1126</v>
      </c>
      <c r="B39" s="278"/>
      <c r="C39" s="278"/>
      <c r="D39" s="278"/>
      <c r="E39" s="278"/>
      <c r="F39" s="278"/>
      <c r="G39" s="279"/>
      <c r="H39" s="279"/>
      <c r="I39" s="279"/>
      <c r="J39" s="279"/>
      <c r="K39" s="279"/>
      <c r="L39" s="279"/>
      <c r="M39" s="279"/>
      <c r="N39" s="279"/>
      <c r="O39" s="279"/>
      <c r="P39" s="280"/>
      <c r="Q39" s="280"/>
      <c r="R39" s="279"/>
    </row>
    <row r="40" spans="1:18" ht="26.25" customHeight="1">
      <c r="A40" s="124">
        <f>IF(B40="","",SUBTOTAL(3,$B$7:B40))</f>
        <v>28</v>
      </c>
      <c r="B40" s="306">
        <v>20002</v>
      </c>
      <c r="C40" s="307" t="s">
        <v>195</v>
      </c>
      <c r="D40" s="290" t="s">
        <v>1237</v>
      </c>
      <c r="E40" s="298" t="s">
        <v>675</v>
      </c>
      <c r="F40" s="291" t="s">
        <v>1704</v>
      </c>
      <c r="G40" s="292">
        <v>1</v>
      </c>
      <c r="H40" s="292">
        <v>1</v>
      </c>
      <c r="I40" s="292"/>
      <c r="J40" s="292">
        <v>1</v>
      </c>
      <c r="K40" s="299" t="s">
        <v>1098</v>
      </c>
      <c r="L40" s="299"/>
      <c r="M40" s="313">
        <v>1</v>
      </c>
      <c r="N40" s="299"/>
      <c r="O40" s="295">
        <v>1</v>
      </c>
      <c r="P40" s="299"/>
      <c r="Q40" s="294"/>
      <c r="R40" s="288" t="s">
        <v>1708</v>
      </c>
    </row>
    <row r="41" spans="1:18" ht="26.25" customHeight="1">
      <c r="A41" s="124">
        <f>IF(B41="","",SUBTOTAL(3,$B$7:B41))</f>
        <v>29</v>
      </c>
      <c r="B41" s="306">
        <v>22002</v>
      </c>
      <c r="C41" s="307" t="s">
        <v>201</v>
      </c>
      <c r="D41" s="290" t="s">
        <v>1237</v>
      </c>
      <c r="E41" s="298" t="s">
        <v>675</v>
      </c>
      <c r="F41" s="291" t="s">
        <v>1704</v>
      </c>
      <c r="G41" s="292">
        <v>1</v>
      </c>
      <c r="H41" s="292">
        <v>1</v>
      </c>
      <c r="I41" s="292"/>
      <c r="J41" s="292">
        <v>1</v>
      </c>
      <c r="K41" s="299" t="s">
        <v>1098</v>
      </c>
      <c r="L41" s="299"/>
      <c r="M41" s="313">
        <v>1</v>
      </c>
      <c r="N41" s="299"/>
      <c r="O41" s="295">
        <v>1</v>
      </c>
      <c r="P41" s="299"/>
      <c r="Q41" s="294"/>
      <c r="R41" s="288" t="s">
        <v>1708</v>
      </c>
    </row>
    <row r="42" spans="1:18" ht="26.25" customHeight="1">
      <c r="A42" s="124">
        <f>IF(B42="","",SUBTOTAL(3,$B$7:B42))</f>
        <v>30</v>
      </c>
      <c r="B42" s="306">
        <v>25003</v>
      </c>
      <c r="C42" s="307" t="s">
        <v>1401</v>
      </c>
      <c r="D42" s="290" t="s">
        <v>1237</v>
      </c>
      <c r="E42" s="290" t="s">
        <v>675</v>
      </c>
      <c r="F42" s="291" t="s">
        <v>1700</v>
      </c>
      <c r="G42" s="292"/>
      <c r="H42" s="292"/>
      <c r="I42" s="292"/>
      <c r="J42" s="296" t="s">
        <v>1701</v>
      </c>
      <c r="K42" s="299" t="s">
        <v>1098</v>
      </c>
      <c r="L42" s="302"/>
      <c r="M42" s="302"/>
      <c r="N42" s="315">
        <v>1</v>
      </c>
      <c r="O42" s="295">
        <v>1</v>
      </c>
      <c r="P42" s="302"/>
      <c r="Q42" s="314"/>
      <c r="R42" s="288"/>
    </row>
    <row r="43" spans="1:18" ht="26.25" customHeight="1">
      <c r="A43" s="124">
        <f>IF(B43="","",SUBTOTAL(3,$B$7:B43))</f>
        <v>31</v>
      </c>
      <c r="B43" s="306">
        <v>26019</v>
      </c>
      <c r="C43" s="307" t="s">
        <v>1408</v>
      </c>
      <c r="D43" s="316" t="s">
        <v>1318</v>
      </c>
      <c r="E43" s="290" t="s">
        <v>675</v>
      </c>
      <c r="F43" s="284" t="s">
        <v>1709</v>
      </c>
      <c r="G43" s="292"/>
      <c r="H43" s="292"/>
      <c r="I43" s="292">
        <v>1</v>
      </c>
      <c r="J43" s="296">
        <v>1</v>
      </c>
      <c r="K43" s="299" t="s">
        <v>1098</v>
      </c>
      <c r="L43" s="302"/>
      <c r="M43" s="302"/>
      <c r="N43" s="302"/>
      <c r="O43" s="294"/>
      <c r="P43" s="302"/>
      <c r="Q43" s="314"/>
      <c r="R43" s="288" t="s">
        <v>1710</v>
      </c>
    </row>
    <row r="44" spans="1:18" ht="26.25" customHeight="1">
      <c r="A44" s="277" t="s">
        <v>1127</v>
      </c>
      <c r="B44" s="278"/>
      <c r="C44" s="278"/>
      <c r="D44" s="278"/>
      <c r="E44" s="278"/>
      <c r="F44" s="278"/>
      <c r="G44" s="279"/>
      <c r="H44" s="279"/>
      <c r="I44" s="279"/>
      <c r="J44" s="279"/>
      <c r="K44" s="279"/>
      <c r="L44" s="279"/>
      <c r="M44" s="279"/>
      <c r="N44" s="279"/>
      <c r="O44" s="280"/>
      <c r="P44" s="280"/>
      <c r="Q44" s="280"/>
      <c r="R44" s="279"/>
    </row>
    <row r="45" spans="1:18" ht="26.25" customHeight="1">
      <c r="A45" s="124">
        <f>IF(B45="","",SUBTOTAL(3,$B$7:B45))</f>
        <v>32</v>
      </c>
      <c r="B45" s="306">
        <v>22003</v>
      </c>
      <c r="C45" s="307" t="s">
        <v>125</v>
      </c>
      <c r="D45" s="290" t="s">
        <v>1237</v>
      </c>
      <c r="E45" s="290" t="s">
        <v>126</v>
      </c>
      <c r="F45" s="291" t="s">
        <v>1704</v>
      </c>
      <c r="G45" s="292">
        <v>1</v>
      </c>
      <c r="H45" s="292">
        <v>1</v>
      </c>
      <c r="I45" s="292"/>
      <c r="J45" s="292">
        <v>1</v>
      </c>
      <c r="K45" s="294"/>
      <c r="L45" s="302"/>
      <c r="M45" s="302"/>
      <c r="N45" s="302"/>
      <c r="O45" s="294"/>
      <c r="P45" s="302"/>
      <c r="Q45" s="295">
        <v>1</v>
      </c>
      <c r="R45" s="288"/>
    </row>
    <row r="46" spans="1:18" ht="26.25" customHeight="1">
      <c r="A46" s="124">
        <f>IF(B46="","",SUBTOTAL(3,$B$7:B46))</f>
        <v>33</v>
      </c>
      <c r="B46" s="306">
        <v>22004</v>
      </c>
      <c r="C46" s="307" t="s">
        <v>753</v>
      </c>
      <c r="D46" s="290" t="s">
        <v>1237</v>
      </c>
      <c r="E46" s="298" t="s">
        <v>126</v>
      </c>
      <c r="F46" s="291" t="s">
        <v>1700</v>
      </c>
      <c r="G46" s="317">
        <v>1</v>
      </c>
      <c r="H46" s="292"/>
      <c r="I46" s="292"/>
      <c r="J46" s="296" t="s">
        <v>1701</v>
      </c>
      <c r="K46" s="294" t="s">
        <v>1110</v>
      </c>
      <c r="L46" s="299"/>
      <c r="M46" s="299"/>
      <c r="N46" s="315">
        <v>1</v>
      </c>
      <c r="O46" s="315">
        <v>1</v>
      </c>
      <c r="P46" s="299"/>
      <c r="Q46" s="294"/>
      <c r="R46" s="288"/>
    </row>
    <row r="47" spans="1:18" ht="26.25" customHeight="1">
      <c r="A47" s="124">
        <f>IF(B47="","",SUBTOTAL(3,$B$7:B47))</f>
        <v>34</v>
      </c>
      <c r="B47" s="306">
        <v>24004</v>
      </c>
      <c r="C47" s="307" t="s">
        <v>712</v>
      </c>
      <c r="D47" s="290" t="s">
        <v>1237</v>
      </c>
      <c r="E47" s="298" t="s">
        <v>126</v>
      </c>
      <c r="F47" s="291" t="s">
        <v>1704</v>
      </c>
      <c r="G47" s="292">
        <v>2</v>
      </c>
      <c r="H47" s="292">
        <v>1</v>
      </c>
      <c r="I47" s="292"/>
      <c r="J47" s="292">
        <v>1</v>
      </c>
      <c r="K47" s="294" t="s">
        <v>1110</v>
      </c>
      <c r="L47" s="299"/>
      <c r="M47" s="299"/>
      <c r="N47" s="299"/>
      <c r="O47" s="294"/>
      <c r="P47" s="299"/>
      <c r="Q47" s="295">
        <v>1</v>
      </c>
      <c r="R47" s="288"/>
    </row>
    <row r="48" spans="1:18" ht="26.25" customHeight="1">
      <c r="A48" s="124">
        <f>IF(B48="","",SUBTOTAL(3,$B$7:B48))</f>
        <v>35</v>
      </c>
      <c r="B48" s="306">
        <v>25011</v>
      </c>
      <c r="C48" s="307" t="s">
        <v>127</v>
      </c>
      <c r="D48" s="290" t="s">
        <v>1237</v>
      </c>
      <c r="E48" s="298" t="s">
        <v>126</v>
      </c>
      <c r="F48" s="291" t="s">
        <v>1704</v>
      </c>
      <c r="G48" s="292">
        <v>2</v>
      </c>
      <c r="H48" s="292">
        <v>1</v>
      </c>
      <c r="I48" s="292"/>
      <c r="J48" s="292">
        <v>1</v>
      </c>
      <c r="K48" s="294" t="s">
        <v>1110</v>
      </c>
      <c r="L48" s="299"/>
      <c r="M48" s="299"/>
      <c r="N48" s="299"/>
      <c r="O48" s="294"/>
      <c r="P48" s="299"/>
      <c r="Q48" s="295">
        <v>1</v>
      </c>
      <c r="R48" s="288"/>
    </row>
    <row r="49" spans="1:18" ht="26.25" customHeight="1">
      <c r="A49" s="124">
        <f>IF(B49="","",SUBTOTAL(3,$B$7:B49))</f>
        <v>36</v>
      </c>
      <c r="B49" s="306">
        <v>25026</v>
      </c>
      <c r="C49" s="307" t="s">
        <v>713</v>
      </c>
      <c r="D49" s="290" t="s">
        <v>1237</v>
      </c>
      <c r="E49" s="298" t="s">
        <v>126</v>
      </c>
      <c r="F49" s="291" t="s">
        <v>1704</v>
      </c>
      <c r="G49" s="292">
        <v>2</v>
      </c>
      <c r="H49" s="292">
        <v>1</v>
      </c>
      <c r="I49" s="292"/>
      <c r="J49" s="292">
        <v>1</v>
      </c>
      <c r="K49" s="294" t="s">
        <v>1110</v>
      </c>
      <c r="L49" s="299"/>
      <c r="M49" s="299"/>
      <c r="N49" s="299"/>
      <c r="O49" s="294"/>
      <c r="P49" s="299"/>
      <c r="Q49" s="295">
        <v>1</v>
      </c>
      <c r="R49" s="288"/>
    </row>
    <row r="50" spans="1:18" ht="26.25" customHeight="1">
      <c r="A50" s="124">
        <f>IF(B50="","",SUBTOTAL(3,$B$7:B50))</f>
        <v>37</v>
      </c>
      <c r="B50" s="306">
        <v>25032</v>
      </c>
      <c r="C50" s="307" t="s">
        <v>133</v>
      </c>
      <c r="D50" s="290" t="s">
        <v>1237</v>
      </c>
      <c r="E50" s="298" t="s">
        <v>126</v>
      </c>
      <c r="F50" s="291" t="s">
        <v>1704</v>
      </c>
      <c r="G50" s="292">
        <v>2</v>
      </c>
      <c r="H50" s="292">
        <v>1</v>
      </c>
      <c r="I50" s="292"/>
      <c r="J50" s="292">
        <v>1</v>
      </c>
      <c r="K50" s="294" t="s">
        <v>1110</v>
      </c>
      <c r="L50" s="299"/>
      <c r="M50" s="299"/>
      <c r="N50" s="299"/>
      <c r="O50" s="294"/>
      <c r="P50" s="299"/>
      <c r="Q50" s="295">
        <v>1</v>
      </c>
      <c r="R50" s="288"/>
    </row>
    <row r="51" spans="1:18" ht="26.25" customHeight="1">
      <c r="A51" s="124">
        <f>IF(B51="","",SUBTOTAL(3,$B$7:B51))</f>
        <v>38</v>
      </c>
      <c r="B51" s="306">
        <v>25045</v>
      </c>
      <c r="C51" s="307" t="s">
        <v>145</v>
      </c>
      <c r="D51" s="290" t="s">
        <v>1237</v>
      </c>
      <c r="E51" s="298" t="s">
        <v>126</v>
      </c>
      <c r="F51" s="291" t="s">
        <v>1704</v>
      </c>
      <c r="G51" s="292">
        <v>2</v>
      </c>
      <c r="H51" s="292">
        <v>1</v>
      </c>
      <c r="I51" s="292"/>
      <c r="J51" s="292">
        <v>1</v>
      </c>
      <c r="K51" s="294" t="s">
        <v>1110</v>
      </c>
      <c r="L51" s="299"/>
      <c r="M51" s="299"/>
      <c r="N51" s="299"/>
      <c r="O51" s="294"/>
      <c r="P51" s="299"/>
      <c r="Q51" s="295">
        <v>1</v>
      </c>
      <c r="R51" s="288"/>
    </row>
    <row r="52" spans="1:18" ht="26.25" customHeight="1">
      <c r="A52" s="124">
        <f>IF(B52="","",SUBTOTAL(3,$B$7:B52))</f>
        <v>39</v>
      </c>
      <c r="B52" s="306">
        <v>25046</v>
      </c>
      <c r="C52" s="307" t="s">
        <v>151</v>
      </c>
      <c r="D52" s="290" t="s">
        <v>1237</v>
      </c>
      <c r="E52" s="298" t="s">
        <v>126</v>
      </c>
      <c r="F52" s="291" t="s">
        <v>1704</v>
      </c>
      <c r="G52" s="292">
        <v>2</v>
      </c>
      <c r="H52" s="292">
        <v>1</v>
      </c>
      <c r="I52" s="292"/>
      <c r="J52" s="292">
        <v>1</v>
      </c>
      <c r="K52" s="294" t="s">
        <v>1110</v>
      </c>
      <c r="L52" s="299"/>
      <c r="M52" s="299"/>
      <c r="N52" s="299"/>
      <c r="O52" s="294"/>
      <c r="P52" s="299"/>
      <c r="Q52" s="295">
        <v>1</v>
      </c>
      <c r="R52" s="288"/>
    </row>
    <row r="53" spans="1:18" ht="26.25" customHeight="1">
      <c r="A53" s="124">
        <f>IF(B53="","",SUBTOTAL(3,$B$7:B53))</f>
        <v>40</v>
      </c>
      <c r="B53" s="306">
        <v>26014</v>
      </c>
      <c r="C53" s="307" t="s">
        <v>205</v>
      </c>
      <c r="D53" s="316" t="s">
        <v>1318</v>
      </c>
      <c r="E53" s="298" t="s">
        <v>126</v>
      </c>
      <c r="F53" s="291" t="s">
        <v>1704</v>
      </c>
      <c r="G53" s="292">
        <v>1</v>
      </c>
      <c r="H53" s="292">
        <v>1</v>
      </c>
      <c r="I53" s="292"/>
      <c r="J53" s="292">
        <v>1</v>
      </c>
      <c r="K53" s="294" t="s">
        <v>1098</v>
      </c>
      <c r="L53" s="299"/>
      <c r="M53" s="313">
        <v>1</v>
      </c>
      <c r="N53" s="299"/>
      <c r="O53" s="315">
        <v>1</v>
      </c>
      <c r="P53" s="299"/>
      <c r="Q53" s="294"/>
      <c r="R53" s="288" t="s">
        <v>1708</v>
      </c>
    </row>
    <row r="54" spans="1:18" ht="26.25" customHeight="1">
      <c r="A54" s="277" t="s">
        <v>1130</v>
      </c>
      <c r="B54" s="278"/>
      <c r="C54" s="318"/>
      <c r="D54" s="319"/>
      <c r="E54" s="319"/>
      <c r="F54" s="319"/>
      <c r="G54" s="320"/>
      <c r="H54" s="320"/>
      <c r="I54" s="320"/>
      <c r="J54" s="320"/>
      <c r="K54" s="320"/>
      <c r="L54" s="320"/>
      <c r="M54" s="320"/>
      <c r="N54" s="320"/>
      <c r="O54" s="279"/>
      <c r="P54" s="320"/>
      <c r="Q54" s="321"/>
      <c r="R54" s="279"/>
    </row>
    <row r="55" spans="1:18" ht="26.25" customHeight="1">
      <c r="A55" s="124">
        <f>IF(B55="","",SUBTOTAL(3,$B$7:B55))</f>
        <v>41</v>
      </c>
      <c r="B55" s="306">
        <v>17001</v>
      </c>
      <c r="C55" s="307" t="s">
        <v>710</v>
      </c>
      <c r="D55" s="290" t="s">
        <v>1237</v>
      </c>
      <c r="E55" s="298" t="s">
        <v>110</v>
      </c>
      <c r="F55" s="291" t="s">
        <v>1704</v>
      </c>
      <c r="G55" s="292">
        <v>1</v>
      </c>
      <c r="H55" s="292">
        <v>1</v>
      </c>
      <c r="I55" s="292"/>
      <c r="J55" s="292">
        <v>1</v>
      </c>
      <c r="K55" s="287" t="s">
        <v>1102</v>
      </c>
      <c r="L55" s="299"/>
      <c r="M55" s="299"/>
      <c r="N55" s="299"/>
      <c r="O55" s="294"/>
      <c r="P55" s="315">
        <v>1</v>
      </c>
      <c r="Q55" s="294"/>
      <c r="R55" s="288"/>
    </row>
    <row r="56" spans="1:18" ht="26.25" customHeight="1">
      <c r="A56" s="124">
        <f>IF(B56="","",SUBTOTAL(3,$B$7:B56))</f>
        <v>42</v>
      </c>
      <c r="B56" s="322">
        <v>10004</v>
      </c>
      <c r="C56" s="307" t="s">
        <v>709</v>
      </c>
      <c r="D56" s="290" t="s">
        <v>1237</v>
      </c>
      <c r="E56" s="298" t="s">
        <v>110</v>
      </c>
      <c r="F56" s="291" t="s">
        <v>1704</v>
      </c>
      <c r="G56" s="292">
        <v>1</v>
      </c>
      <c r="H56" s="292">
        <v>1</v>
      </c>
      <c r="I56" s="292"/>
      <c r="J56" s="292">
        <v>1</v>
      </c>
      <c r="K56" s="287" t="s">
        <v>1102</v>
      </c>
      <c r="L56" s="299"/>
      <c r="M56" s="299"/>
      <c r="N56" s="299"/>
      <c r="O56" s="294"/>
      <c r="P56" s="315">
        <v>1</v>
      </c>
      <c r="Q56" s="294"/>
      <c r="R56" s="288"/>
    </row>
    <row r="57" spans="1:18" ht="26.25" customHeight="1">
      <c r="A57" s="124">
        <f>IF(B57="","",SUBTOTAL(3,$B$7:B57))</f>
        <v>43</v>
      </c>
      <c r="B57" s="306">
        <v>24007</v>
      </c>
      <c r="C57" s="307" t="s">
        <v>209</v>
      </c>
      <c r="D57" s="290" t="s">
        <v>1237</v>
      </c>
      <c r="E57" s="290" t="s">
        <v>110</v>
      </c>
      <c r="F57" s="291" t="s">
        <v>1704</v>
      </c>
      <c r="G57" s="292">
        <v>1</v>
      </c>
      <c r="H57" s="292">
        <v>1</v>
      </c>
      <c r="I57" s="292"/>
      <c r="J57" s="292">
        <v>1</v>
      </c>
      <c r="K57" s="287" t="s">
        <v>1102</v>
      </c>
      <c r="L57" s="314"/>
      <c r="M57" s="323">
        <v>1</v>
      </c>
      <c r="N57" s="302"/>
      <c r="O57" s="295">
        <v>1</v>
      </c>
      <c r="P57" s="315">
        <v>1</v>
      </c>
      <c r="Q57" s="314"/>
      <c r="R57" s="288" t="s">
        <v>1708</v>
      </c>
    </row>
    <row r="58" spans="1:18" ht="26.25" customHeight="1">
      <c r="A58" s="124">
        <f>IF(B58="","",SUBTOTAL(3,$B$7:B58))</f>
        <v>44</v>
      </c>
      <c r="B58" s="306">
        <v>25017</v>
      </c>
      <c r="C58" s="307" t="s">
        <v>708</v>
      </c>
      <c r="D58" s="290" t="s">
        <v>1237</v>
      </c>
      <c r="E58" s="298" t="s">
        <v>110</v>
      </c>
      <c r="F58" s="291" t="s">
        <v>1704</v>
      </c>
      <c r="G58" s="292">
        <v>1</v>
      </c>
      <c r="H58" s="292">
        <v>1</v>
      </c>
      <c r="I58" s="292"/>
      <c r="J58" s="292">
        <v>1</v>
      </c>
      <c r="K58" s="287" t="s">
        <v>1102</v>
      </c>
      <c r="L58" s="299"/>
      <c r="M58" s="299"/>
      <c r="N58" s="299"/>
      <c r="O58" s="294"/>
      <c r="P58" s="315">
        <v>1</v>
      </c>
      <c r="Q58" s="294"/>
      <c r="R58" s="288"/>
    </row>
    <row r="59" spans="1:18" ht="26.25" customHeight="1">
      <c r="A59" s="124">
        <f>IF(B59="","",SUBTOTAL(3,$B$7:B59))</f>
        <v>45</v>
      </c>
      <c r="B59" s="324">
        <v>25039</v>
      </c>
      <c r="C59" s="325" t="s">
        <v>164</v>
      </c>
      <c r="D59" s="290" t="s">
        <v>1237</v>
      </c>
      <c r="E59" s="298" t="s">
        <v>110</v>
      </c>
      <c r="F59" s="291" t="s">
        <v>1704</v>
      </c>
      <c r="G59" s="292">
        <v>1</v>
      </c>
      <c r="H59" s="292">
        <v>1</v>
      </c>
      <c r="I59" s="292"/>
      <c r="J59" s="292">
        <v>1</v>
      </c>
      <c r="K59" s="287" t="s">
        <v>1102</v>
      </c>
      <c r="L59" s="294"/>
      <c r="M59" s="323">
        <v>1</v>
      </c>
      <c r="N59" s="299"/>
      <c r="O59" s="295">
        <v>1</v>
      </c>
      <c r="P59" s="315">
        <v>1</v>
      </c>
      <c r="Q59" s="294"/>
      <c r="R59" s="288" t="s">
        <v>1708</v>
      </c>
    </row>
    <row r="60" spans="1:18" ht="26.25" customHeight="1">
      <c r="A60" s="124">
        <f>IF(B60="","",SUBTOTAL(3,$B$7:B60))</f>
        <v>46</v>
      </c>
      <c r="B60" s="324">
        <v>25041</v>
      </c>
      <c r="C60" s="325" t="s">
        <v>216</v>
      </c>
      <c r="D60" s="290" t="s">
        <v>1237</v>
      </c>
      <c r="E60" s="298" t="s">
        <v>110</v>
      </c>
      <c r="F60" s="291" t="s">
        <v>1704</v>
      </c>
      <c r="G60" s="292">
        <v>1</v>
      </c>
      <c r="H60" s="292">
        <v>1</v>
      </c>
      <c r="I60" s="292"/>
      <c r="J60" s="292">
        <v>1</v>
      </c>
      <c r="K60" s="287" t="s">
        <v>1102</v>
      </c>
      <c r="L60" s="294"/>
      <c r="M60" s="323">
        <v>1</v>
      </c>
      <c r="N60" s="299"/>
      <c r="O60" s="295">
        <v>1</v>
      </c>
      <c r="P60" s="315">
        <v>1</v>
      </c>
      <c r="Q60" s="294"/>
      <c r="R60" s="288" t="s">
        <v>1708</v>
      </c>
    </row>
    <row r="61" spans="1:18" ht="26.25" customHeight="1">
      <c r="A61" s="277" t="s">
        <v>1133</v>
      </c>
      <c r="B61" s="278"/>
      <c r="C61" s="278"/>
      <c r="D61" s="278"/>
      <c r="E61" s="278"/>
      <c r="F61" s="278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</row>
    <row r="62" spans="1:18" ht="50.25" customHeight="1">
      <c r="A62" s="124">
        <f>IF(B62="","",SUBTOTAL(3,$B$7:B62))</f>
        <v>47</v>
      </c>
      <c r="B62" s="306">
        <v>25015</v>
      </c>
      <c r="C62" s="307" t="s">
        <v>748</v>
      </c>
      <c r="D62" s="290" t="s">
        <v>1237</v>
      </c>
      <c r="E62" s="298" t="s">
        <v>160</v>
      </c>
      <c r="F62" s="284" t="s">
        <v>1709</v>
      </c>
      <c r="G62" s="292">
        <v>1</v>
      </c>
      <c r="H62" s="292"/>
      <c r="I62" s="292"/>
      <c r="J62" s="326" t="s">
        <v>1711</v>
      </c>
      <c r="K62" s="287" t="s">
        <v>1102</v>
      </c>
      <c r="L62" s="299"/>
      <c r="M62" s="299"/>
      <c r="N62" s="299"/>
      <c r="O62" s="295">
        <v>1</v>
      </c>
      <c r="P62" s="315">
        <v>1</v>
      </c>
      <c r="Q62" s="294"/>
      <c r="R62" s="288" t="s">
        <v>1712</v>
      </c>
    </row>
    <row r="63" spans="1:18" ht="26.25" customHeight="1">
      <c r="A63" s="124">
        <f>IF(B63="","",SUBTOTAL(3,$B$7:B63))</f>
        <v>48</v>
      </c>
      <c r="B63" s="306">
        <v>25021</v>
      </c>
      <c r="C63" s="307" t="s">
        <v>115</v>
      </c>
      <c r="D63" s="290" t="s">
        <v>1237</v>
      </c>
      <c r="E63" s="298" t="s">
        <v>160</v>
      </c>
      <c r="F63" s="291" t="s">
        <v>1704</v>
      </c>
      <c r="G63" s="292">
        <v>1</v>
      </c>
      <c r="H63" s="292">
        <v>1</v>
      </c>
      <c r="I63" s="292"/>
      <c r="J63" s="292">
        <v>1</v>
      </c>
      <c r="K63" s="287" t="s">
        <v>1102</v>
      </c>
      <c r="L63" s="294"/>
      <c r="M63" s="323">
        <v>1</v>
      </c>
      <c r="N63" s="299"/>
      <c r="O63" s="299"/>
      <c r="P63" s="315">
        <v>1</v>
      </c>
      <c r="Q63" s="294"/>
      <c r="R63" s="288" t="s">
        <v>1708</v>
      </c>
    </row>
    <row r="64" spans="1:18" ht="26.25" customHeight="1">
      <c r="A64" s="124">
        <f>IF(B64="","",SUBTOTAL(3,$B$7:B64))</f>
        <v>49</v>
      </c>
      <c r="B64" s="306">
        <v>26016</v>
      </c>
      <c r="C64" s="307" t="s">
        <v>182</v>
      </c>
      <c r="D64" s="316" t="s">
        <v>1318</v>
      </c>
      <c r="E64" s="298" t="s">
        <v>160</v>
      </c>
      <c r="F64" s="291" t="s">
        <v>1704</v>
      </c>
      <c r="G64" s="292">
        <v>1</v>
      </c>
      <c r="H64" s="292">
        <v>1</v>
      </c>
      <c r="I64" s="292"/>
      <c r="J64" s="292">
        <v>1</v>
      </c>
      <c r="K64" s="287" t="s">
        <v>1102</v>
      </c>
      <c r="L64" s="294"/>
      <c r="M64" s="323">
        <v>1</v>
      </c>
      <c r="N64" s="299"/>
      <c r="O64" s="299"/>
      <c r="P64" s="315">
        <v>1</v>
      </c>
      <c r="Q64" s="294"/>
      <c r="R64" s="288" t="s">
        <v>1708</v>
      </c>
    </row>
    <row r="65" spans="1:18" ht="26.25" customHeight="1">
      <c r="A65" s="124">
        <f>IF(B65="","",SUBTOTAL(3,$B$7:B65))</f>
        <v>50</v>
      </c>
      <c r="B65" s="306">
        <v>26007</v>
      </c>
      <c r="C65" s="307" t="s">
        <v>1500</v>
      </c>
      <c r="D65" s="290" t="s">
        <v>1237</v>
      </c>
      <c r="E65" s="298" t="s">
        <v>160</v>
      </c>
      <c r="F65" s="291" t="s">
        <v>1700</v>
      </c>
      <c r="G65" s="292"/>
      <c r="H65" s="292"/>
      <c r="I65" s="292"/>
      <c r="J65" s="296" t="s">
        <v>1701</v>
      </c>
      <c r="K65" s="294" t="s">
        <v>1110</v>
      </c>
      <c r="L65" s="299"/>
      <c r="M65" s="299"/>
      <c r="N65" s="315">
        <v>1</v>
      </c>
      <c r="O65" s="295">
        <v>1</v>
      </c>
      <c r="P65" s="299"/>
      <c r="Q65" s="294"/>
      <c r="R65" s="288"/>
    </row>
    <row r="66" spans="1:18" ht="26.25" customHeight="1">
      <c r="A66" s="124">
        <f>IF(B66="","",SUBTOTAL(3,$B$7:B66))</f>
        <v>51</v>
      </c>
      <c r="B66" s="261" t="s">
        <v>1713</v>
      </c>
      <c r="C66" s="327" t="s">
        <v>1677</v>
      </c>
      <c r="D66" s="328"/>
      <c r="E66" s="298"/>
      <c r="F66" s="291" t="s">
        <v>1704</v>
      </c>
      <c r="G66" s="292"/>
      <c r="H66" s="292"/>
      <c r="I66" s="292"/>
      <c r="J66" s="292"/>
      <c r="K66" s="299" t="s">
        <v>1098</v>
      </c>
      <c r="L66" s="299"/>
      <c r="M66" s="299"/>
      <c r="N66" s="315">
        <v>1</v>
      </c>
      <c r="O66" s="295">
        <v>1</v>
      </c>
      <c r="P66" s="299"/>
      <c r="Q66" s="294"/>
      <c r="R66" s="288"/>
    </row>
    <row r="67" spans="1:18" ht="26.25" customHeight="1">
      <c r="A67" s="277" t="s">
        <v>1135</v>
      </c>
      <c r="B67" s="278"/>
      <c r="C67" s="278"/>
      <c r="D67" s="278"/>
      <c r="E67" s="278"/>
      <c r="F67" s="278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</row>
    <row r="68" spans="1:18" ht="26.25" customHeight="1">
      <c r="A68" s="124">
        <f>IF(B68="","",SUBTOTAL(3,$B$7:B68))</f>
        <v>52</v>
      </c>
      <c r="B68" s="306">
        <v>25038</v>
      </c>
      <c r="C68" s="307" t="s">
        <v>1683</v>
      </c>
      <c r="D68" s="290" t="s">
        <v>1237</v>
      </c>
      <c r="E68" s="298" t="s">
        <v>1507</v>
      </c>
      <c r="F68" s="291" t="s">
        <v>1700</v>
      </c>
      <c r="G68" s="292"/>
      <c r="H68" s="292"/>
      <c r="I68" s="292"/>
      <c r="J68" s="296" t="s">
        <v>1701</v>
      </c>
      <c r="K68" s="294" t="s">
        <v>1110</v>
      </c>
      <c r="L68" s="299"/>
      <c r="M68" s="299"/>
      <c r="N68" s="315">
        <v>1</v>
      </c>
      <c r="O68" s="295">
        <v>1</v>
      </c>
      <c r="P68" s="299"/>
      <c r="Q68" s="294"/>
      <c r="R68" s="288"/>
    </row>
    <row r="69" spans="1:18" ht="55.5" customHeight="1">
      <c r="A69" s="124">
        <f>IF(B69="","",SUBTOTAL(3,$B$7:B69))</f>
        <v>53</v>
      </c>
      <c r="B69" s="306">
        <v>25043</v>
      </c>
      <c r="C69" s="307" t="s">
        <v>1506</v>
      </c>
      <c r="D69" s="290" t="s">
        <v>1237</v>
      </c>
      <c r="E69" s="298" t="s">
        <v>1507</v>
      </c>
      <c r="F69" s="291" t="s">
        <v>1704</v>
      </c>
      <c r="G69" s="292">
        <v>1</v>
      </c>
      <c r="H69" s="292">
        <v>1</v>
      </c>
      <c r="I69" s="292"/>
      <c r="J69" s="292">
        <v>1</v>
      </c>
      <c r="K69" s="294" t="s">
        <v>1110</v>
      </c>
      <c r="L69" s="299"/>
      <c r="M69" s="299"/>
      <c r="N69" s="299"/>
      <c r="O69" s="294"/>
      <c r="P69" s="299"/>
      <c r="Q69" s="294"/>
      <c r="R69" s="329" t="s">
        <v>1714</v>
      </c>
    </row>
    <row r="70" spans="1:18" ht="26.25" customHeight="1">
      <c r="A70" s="277" t="s">
        <v>1138</v>
      </c>
      <c r="B70" s="278"/>
      <c r="C70" s="278"/>
      <c r="D70" s="278"/>
      <c r="E70" s="278"/>
      <c r="F70" s="278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</row>
    <row r="71" spans="1:18" ht="26.25" customHeight="1">
      <c r="A71" s="124">
        <f>IF(B71="","",SUBTOTAL(3,$B$7:B71))</f>
        <v>54</v>
      </c>
      <c r="B71" s="330">
        <v>26012</v>
      </c>
      <c r="C71" s="331" t="s">
        <v>1655</v>
      </c>
      <c r="D71" s="331" t="s">
        <v>1318</v>
      </c>
      <c r="E71" s="331" t="s">
        <v>683</v>
      </c>
      <c r="F71" s="291" t="s">
        <v>1704</v>
      </c>
      <c r="G71" s="332">
        <v>1</v>
      </c>
      <c r="H71" s="332"/>
      <c r="I71" s="332"/>
      <c r="J71" s="332">
        <v>1</v>
      </c>
      <c r="K71" s="299"/>
      <c r="L71" s="333"/>
      <c r="M71" s="333"/>
      <c r="N71" s="333"/>
      <c r="O71" s="333"/>
      <c r="P71" s="333"/>
      <c r="Q71" s="334"/>
      <c r="R71" s="288"/>
    </row>
    <row r="72" spans="1:18" ht="24" customHeight="1"/>
    <row r="73" spans="1:18"/>
    <row r="74" spans="1:18" ht="18.75" customHeight="1">
      <c r="M74" s="854" t="s">
        <v>1715</v>
      </c>
      <c r="N74" s="854"/>
      <c r="O74" s="854"/>
    </row>
  </sheetData>
  <autoFilter ref="K1:K74" xr:uid="{2D0EC436-7627-4EB5-A98E-C3127EF328ED}"/>
  <mergeCells count="10">
    <mergeCell ref="R4:R5"/>
    <mergeCell ref="M74:O74"/>
    <mergeCell ref="A1:B1"/>
    <mergeCell ref="C1:G1"/>
    <mergeCell ref="A3:A4"/>
    <mergeCell ref="B3:B4"/>
    <mergeCell ref="C3:C4"/>
    <mergeCell ref="D3:D4"/>
    <mergeCell ref="E3:E4"/>
    <mergeCell ref="F3:J3"/>
  </mergeCells>
  <printOptions horizontalCentered="1"/>
  <pageMargins left="0.25" right="0.25" top="0.75" bottom="0.75" header="0.3" footer="0.3"/>
  <pageSetup paperSize="9" scale="90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C4B5023ED0FF824A961AE375EA065D8A" ma:contentTypeVersion="13" ma:contentTypeDescription="Tạo tài liệu mới." ma:contentTypeScope="" ma:versionID="6f3ec29d61c81490d344b37d9139aa12">
  <xsd:schema xmlns:xsd="http://www.w3.org/2001/XMLSchema" xmlns:xs="http://www.w3.org/2001/XMLSchema" xmlns:p="http://schemas.microsoft.com/office/2006/metadata/properties" xmlns:ns2="1c0d2827-8bcf-4d8d-a0b7-c791d1802962" xmlns:ns3="6088666f-9b62-46c8-b04b-5af1ce546f32" targetNamespace="http://schemas.microsoft.com/office/2006/metadata/properties" ma:root="true" ma:fieldsID="cd5e031b8e23a92a1676872206cfec08" ns2:_="" ns3:_="">
    <xsd:import namespace="1c0d2827-8bcf-4d8d-a0b7-c791d1802962"/>
    <xsd:import namespace="6088666f-9b62-46c8-b04b-5af1ce546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d2827-8bcf-4d8d-a0b7-c791d1802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3097dcbf-c09c-41b1-a0d7-781a5d0694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88666f-9b62-46c8-b04b-5af1ce546f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40e80a-a01b-4f73-a315-8302fe902ff9}" ma:internalName="TaxCatchAll" ma:showField="CatchAllData" ma:web="6088666f-9b62-46c8-b04b-5af1ce546f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d2827-8bcf-4d8d-a0b7-c791d1802962">
      <Terms xmlns="http://schemas.microsoft.com/office/infopath/2007/PartnerControls"/>
    </lcf76f155ced4ddcb4097134ff3c332f>
    <TaxCatchAll xmlns="6088666f-9b62-46c8-b04b-5af1ce546f32" xsi:nil="true"/>
  </documentManagement>
</p:properties>
</file>

<file path=customXml/itemProps1.xml><?xml version="1.0" encoding="utf-8"?>
<ds:datastoreItem xmlns:ds="http://schemas.openxmlformats.org/officeDocument/2006/customXml" ds:itemID="{8EF81965-6458-4B07-8901-C698B1DC70FB}"/>
</file>

<file path=customXml/itemProps2.xml><?xml version="1.0" encoding="utf-8"?>
<ds:datastoreItem xmlns:ds="http://schemas.openxmlformats.org/officeDocument/2006/customXml" ds:itemID="{6CA5DEFC-75AF-47C6-85E9-ECB80C1C2B3E}"/>
</file>

<file path=customXml/itemProps3.xml><?xml version="1.0" encoding="utf-8"?>
<ds:datastoreItem xmlns:ds="http://schemas.openxmlformats.org/officeDocument/2006/customXml" ds:itemID="{F9D606EB-88AA-400F-A898-2393D1BFC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Hang</dc:creator>
  <cp:keywords/>
  <dc:description/>
  <cp:lastModifiedBy/>
  <cp:revision/>
  <dcterms:created xsi:type="dcterms:W3CDTF">2025-06-24T02:56:15Z</dcterms:created>
  <dcterms:modified xsi:type="dcterms:W3CDTF">2026-09-04T06:50:42Z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0x010100C4B5023ED0FF824A961AE375EA065D8A</vt:lpwstr>
  </property>
  <property fmtid="{D5CDD505-2E9C-101B-9397-08002B2CF9AE}" pid="3" name="MediaServiceImageTags">
    <vt:lpwstr/>
  </property>
</Properties>
</file>